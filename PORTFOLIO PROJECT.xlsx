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sakazmi/Downloads/WPM EQUITY RESEARCH REPORT/Asset allocation Project/"/>
    </mc:Choice>
  </mc:AlternateContent>
  <xr:revisionPtr revIDLastSave="0" documentId="13_ncr:1_{187E9857-0FED-3C4D-8913-61C7BE6EA510}" xr6:coauthVersionLast="47" xr6:coauthVersionMax="47" xr10:uidLastSave="{00000000-0000-0000-0000-000000000000}"/>
  <bookViews>
    <workbookView xWindow="3420" yWindow="500" windowWidth="25380" windowHeight="16340" firstSheet="3" activeTab="4" xr2:uid="{4E885232-B48D-004C-8FA5-DCC264471168}"/>
  </bookViews>
  <sheets>
    <sheet name="Strategic Asset Allocation" sheetId="1" r:id="rId1"/>
    <sheet name="Implementation Breakdown" sheetId="2" r:id="rId2"/>
    <sheet name="Capital Market Assumptions (Exp" sheetId="3" r:id="rId3"/>
    <sheet name="Portfolio Analytics" sheetId="5" r:id="rId4"/>
    <sheet name="Rebalancing Simulation" sheetId="6" r:id="rId5"/>
    <sheet name="Sheet2" sheetId="12" r:id="rId6"/>
    <sheet name="Deviation" sheetId="11" r:id="rId7"/>
    <sheet name="Returns" sheetId="8" r:id="rId8"/>
    <sheet name="Portfolio" sheetId="10" r:id="rId9"/>
    <sheet name="Raw Data_Prices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7" i="6" l="1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U96" i="6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6" i="6"/>
  <c r="B16" i="12"/>
  <c r="J16" i="12"/>
  <c r="K16" i="12"/>
  <c r="L16" i="12"/>
  <c r="L17" i="12" s="1"/>
  <c r="M16" i="12"/>
  <c r="M17" i="12" s="1"/>
  <c r="N16" i="12"/>
  <c r="N17" i="12" s="1"/>
  <c r="O16" i="12"/>
  <c r="O17" i="12" s="1"/>
  <c r="P16" i="12"/>
  <c r="T16" i="12"/>
  <c r="U16" i="12"/>
  <c r="J17" i="12"/>
  <c r="K17" i="12"/>
  <c r="P17" i="12"/>
  <c r="P18" i="12" s="1"/>
  <c r="O18" i="12"/>
  <c r="P19" i="12"/>
  <c r="V1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B3" i="12"/>
  <c r="H16" i="11"/>
  <c r="G16" i="11"/>
  <c r="F16" i="11"/>
  <c r="E16" i="11"/>
  <c r="D16" i="11"/>
  <c r="C16" i="11"/>
  <c r="B16" i="11"/>
  <c r="H15" i="8"/>
  <c r="B3" i="8"/>
  <c r="B16" i="6"/>
  <c r="A132" i="6"/>
  <c r="A132" i="11" s="1"/>
  <c r="A133" i="6"/>
  <c r="A133" i="11" s="1"/>
  <c r="A134" i="6"/>
  <c r="A134" i="11" s="1"/>
  <c r="A135" i="6"/>
  <c r="A135" i="11" s="1"/>
  <c r="A121" i="6"/>
  <c r="A121" i="11" s="1"/>
  <c r="A122" i="6"/>
  <c r="A122" i="11" s="1"/>
  <c r="A123" i="6"/>
  <c r="A123" i="11" s="1"/>
  <c r="A124" i="6"/>
  <c r="A124" i="11" s="1"/>
  <c r="A125" i="6"/>
  <c r="A125" i="11" s="1"/>
  <c r="A126" i="6"/>
  <c r="A126" i="11" s="1"/>
  <c r="A127" i="6"/>
  <c r="A127" i="11" s="1"/>
  <c r="A128" i="6"/>
  <c r="A128" i="11" s="1"/>
  <c r="A129" i="6"/>
  <c r="A129" i="11" s="1"/>
  <c r="A130" i="6"/>
  <c r="A130" i="11" s="1"/>
  <c r="A131" i="6"/>
  <c r="A131" i="11" s="1"/>
  <c r="A25" i="6"/>
  <c r="A25" i="11" s="1"/>
  <c r="A26" i="6"/>
  <c r="A26" i="11" s="1"/>
  <c r="A27" i="6"/>
  <c r="A27" i="11" s="1"/>
  <c r="A28" i="6"/>
  <c r="A28" i="11" s="1"/>
  <c r="A29" i="6"/>
  <c r="A29" i="11" s="1"/>
  <c r="A30" i="6"/>
  <c r="A30" i="11" s="1"/>
  <c r="A31" i="6"/>
  <c r="A31" i="11" s="1"/>
  <c r="A32" i="6"/>
  <c r="A32" i="11" s="1"/>
  <c r="A33" i="6"/>
  <c r="A33" i="11" s="1"/>
  <c r="A34" i="6"/>
  <c r="A34" i="11" s="1"/>
  <c r="A35" i="6"/>
  <c r="A35" i="11" s="1"/>
  <c r="A36" i="6"/>
  <c r="A36" i="11" s="1"/>
  <c r="A37" i="6"/>
  <c r="A37" i="11" s="1"/>
  <c r="A38" i="6"/>
  <c r="A38" i="11" s="1"/>
  <c r="A39" i="6"/>
  <c r="A39" i="11" s="1"/>
  <c r="A40" i="6"/>
  <c r="A40" i="11" s="1"/>
  <c r="A41" i="6"/>
  <c r="A41" i="11" s="1"/>
  <c r="A42" i="6"/>
  <c r="A42" i="11" s="1"/>
  <c r="A43" i="6"/>
  <c r="A43" i="11" s="1"/>
  <c r="A44" i="6"/>
  <c r="A44" i="11" s="1"/>
  <c r="A45" i="6"/>
  <c r="A45" i="11" s="1"/>
  <c r="A46" i="6"/>
  <c r="A46" i="11" s="1"/>
  <c r="A47" i="6"/>
  <c r="A47" i="11" s="1"/>
  <c r="A48" i="6"/>
  <c r="A48" i="11" s="1"/>
  <c r="A49" i="6"/>
  <c r="A49" i="11" s="1"/>
  <c r="A50" i="6"/>
  <c r="A50" i="11" s="1"/>
  <c r="A51" i="6"/>
  <c r="A51" i="11" s="1"/>
  <c r="A52" i="6"/>
  <c r="A52" i="11" s="1"/>
  <c r="A53" i="6"/>
  <c r="A53" i="11" s="1"/>
  <c r="A54" i="6"/>
  <c r="A54" i="11" s="1"/>
  <c r="A55" i="6"/>
  <c r="A55" i="11" s="1"/>
  <c r="A56" i="6"/>
  <c r="A56" i="11" s="1"/>
  <c r="A57" i="6"/>
  <c r="A57" i="11" s="1"/>
  <c r="A58" i="6"/>
  <c r="A58" i="11" s="1"/>
  <c r="A59" i="6"/>
  <c r="A59" i="11" s="1"/>
  <c r="A60" i="6"/>
  <c r="A60" i="11" s="1"/>
  <c r="A61" i="6"/>
  <c r="A61" i="11" s="1"/>
  <c r="A62" i="6"/>
  <c r="A62" i="11" s="1"/>
  <c r="A63" i="6"/>
  <c r="A63" i="11" s="1"/>
  <c r="A64" i="6"/>
  <c r="A64" i="11" s="1"/>
  <c r="A65" i="6"/>
  <c r="A65" i="11" s="1"/>
  <c r="A66" i="6"/>
  <c r="A66" i="11" s="1"/>
  <c r="A67" i="6"/>
  <c r="A67" i="11" s="1"/>
  <c r="A68" i="6"/>
  <c r="A68" i="11" s="1"/>
  <c r="A69" i="6"/>
  <c r="A69" i="11" s="1"/>
  <c r="A70" i="6"/>
  <c r="A70" i="11" s="1"/>
  <c r="A71" i="6"/>
  <c r="A71" i="11" s="1"/>
  <c r="A72" i="6"/>
  <c r="A72" i="11" s="1"/>
  <c r="A73" i="6"/>
  <c r="A73" i="11" s="1"/>
  <c r="A74" i="6"/>
  <c r="A74" i="11" s="1"/>
  <c r="A75" i="6"/>
  <c r="A75" i="11" s="1"/>
  <c r="A76" i="6"/>
  <c r="A76" i="11" s="1"/>
  <c r="A77" i="6"/>
  <c r="A77" i="11" s="1"/>
  <c r="A78" i="6"/>
  <c r="A78" i="11" s="1"/>
  <c r="A79" i="6"/>
  <c r="A79" i="11" s="1"/>
  <c r="A80" i="6"/>
  <c r="A80" i="11" s="1"/>
  <c r="A81" i="6"/>
  <c r="A81" i="11" s="1"/>
  <c r="A82" i="6"/>
  <c r="A82" i="11" s="1"/>
  <c r="A83" i="6"/>
  <c r="A83" i="11" s="1"/>
  <c r="A84" i="6"/>
  <c r="A84" i="11" s="1"/>
  <c r="A85" i="6"/>
  <c r="A85" i="11" s="1"/>
  <c r="A86" i="6"/>
  <c r="A86" i="11" s="1"/>
  <c r="A87" i="6"/>
  <c r="A87" i="11" s="1"/>
  <c r="A88" i="6"/>
  <c r="A88" i="11" s="1"/>
  <c r="A89" i="6"/>
  <c r="A89" i="11" s="1"/>
  <c r="A90" i="6"/>
  <c r="A90" i="11" s="1"/>
  <c r="A91" i="6"/>
  <c r="A91" i="11" s="1"/>
  <c r="A92" i="6"/>
  <c r="A92" i="11" s="1"/>
  <c r="A93" i="6"/>
  <c r="A93" i="11" s="1"/>
  <c r="A94" i="6"/>
  <c r="A94" i="11" s="1"/>
  <c r="A95" i="6"/>
  <c r="A95" i="11" s="1"/>
  <c r="A96" i="6"/>
  <c r="A96" i="11" s="1"/>
  <c r="A97" i="6"/>
  <c r="A97" i="11" s="1"/>
  <c r="A98" i="6"/>
  <c r="A98" i="11" s="1"/>
  <c r="A99" i="6"/>
  <c r="A99" i="11" s="1"/>
  <c r="A100" i="6"/>
  <c r="A100" i="11" s="1"/>
  <c r="A101" i="6"/>
  <c r="A101" i="11" s="1"/>
  <c r="A102" i="6"/>
  <c r="A102" i="11" s="1"/>
  <c r="A103" i="6"/>
  <c r="A103" i="11" s="1"/>
  <c r="A104" i="6"/>
  <c r="A104" i="11" s="1"/>
  <c r="A105" i="6"/>
  <c r="A105" i="11" s="1"/>
  <c r="A106" i="6"/>
  <c r="A106" i="11" s="1"/>
  <c r="A107" i="6"/>
  <c r="A107" i="11" s="1"/>
  <c r="A108" i="6"/>
  <c r="A108" i="11" s="1"/>
  <c r="A109" i="6"/>
  <c r="A109" i="11" s="1"/>
  <c r="A110" i="6"/>
  <c r="A110" i="11" s="1"/>
  <c r="A111" i="6"/>
  <c r="A111" i="11" s="1"/>
  <c r="A112" i="6"/>
  <c r="A112" i="11" s="1"/>
  <c r="A113" i="6"/>
  <c r="A113" i="11" s="1"/>
  <c r="A114" i="6"/>
  <c r="A114" i="11" s="1"/>
  <c r="A115" i="6"/>
  <c r="A115" i="11" s="1"/>
  <c r="A116" i="6"/>
  <c r="A116" i="11" s="1"/>
  <c r="A117" i="6"/>
  <c r="A117" i="11" s="1"/>
  <c r="A118" i="6"/>
  <c r="A118" i="11" s="1"/>
  <c r="A119" i="6"/>
  <c r="A119" i="11" s="1"/>
  <c r="A120" i="6"/>
  <c r="A120" i="11" s="1"/>
  <c r="A17" i="6"/>
  <c r="A17" i="11" s="1"/>
  <c r="A18" i="6"/>
  <c r="A18" i="11" s="1"/>
  <c r="A19" i="6"/>
  <c r="A19" i="11" s="1"/>
  <c r="A20" i="6"/>
  <c r="A20" i="11" s="1"/>
  <c r="A21" i="6"/>
  <c r="A21" i="11" s="1"/>
  <c r="A22" i="6"/>
  <c r="A22" i="11" s="1"/>
  <c r="A23" i="6"/>
  <c r="A23" i="11" s="1"/>
  <c r="A24" i="6"/>
  <c r="A24" i="11" s="1"/>
  <c r="A16" i="6"/>
  <c r="A16" i="11" s="1"/>
  <c r="B3" i="6"/>
  <c r="I3" i="8" a="1"/>
  <c r="I3" i="8" s="1"/>
  <c r="E12" i="8"/>
  <c r="C3" i="8"/>
  <c r="H8" i="10"/>
  <c r="H7" i="10"/>
  <c r="H6" i="10"/>
  <c r="H3" i="10"/>
  <c r="H4" i="10"/>
  <c r="H5" i="10"/>
  <c r="H2" i="10"/>
  <c r="K3" i="8"/>
  <c r="L3" i="8"/>
  <c r="O9" i="8"/>
  <c r="C9" i="10"/>
  <c r="H3" i="8"/>
  <c r="F3" i="8"/>
  <c r="G3" i="8"/>
  <c r="F4" i="8"/>
  <c r="G4" i="8"/>
  <c r="H4" i="8"/>
  <c r="F5" i="8"/>
  <c r="G5" i="8"/>
  <c r="H5" i="8"/>
  <c r="F6" i="8"/>
  <c r="G6" i="8"/>
  <c r="H6" i="8"/>
  <c r="F7" i="8"/>
  <c r="G7" i="8"/>
  <c r="H7" i="8"/>
  <c r="F8" i="8"/>
  <c r="G8" i="8"/>
  <c r="H8" i="8"/>
  <c r="F9" i="8"/>
  <c r="G9" i="8"/>
  <c r="H9" i="8"/>
  <c r="F10" i="8"/>
  <c r="G10" i="8"/>
  <c r="H10" i="8"/>
  <c r="F11" i="8"/>
  <c r="G11" i="8"/>
  <c r="H11" i="8"/>
  <c r="F12" i="8"/>
  <c r="G12" i="8"/>
  <c r="H12" i="8"/>
  <c r="F13" i="8"/>
  <c r="G13" i="8"/>
  <c r="H13" i="8"/>
  <c r="F14" i="8"/>
  <c r="G14" i="8"/>
  <c r="H14" i="8"/>
  <c r="F15" i="8"/>
  <c r="G15" i="8"/>
  <c r="F16" i="8"/>
  <c r="G16" i="8"/>
  <c r="H16" i="8"/>
  <c r="F17" i="8"/>
  <c r="G17" i="8"/>
  <c r="H17" i="8"/>
  <c r="F18" i="8"/>
  <c r="G18" i="8"/>
  <c r="H18" i="8"/>
  <c r="F19" i="8"/>
  <c r="G19" i="8"/>
  <c r="H19" i="8"/>
  <c r="F20" i="8"/>
  <c r="G20" i="8"/>
  <c r="H20" i="8"/>
  <c r="F21" i="8"/>
  <c r="G21" i="8"/>
  <c r="H21" i="8"/>
  <c r="F22" i="8"/>
  <c r="G22" i="8"/>
  <c r="H22" i="8"/>
  <c r="F23" i="8"/>
  <c r="G23" i="8"/>
  <c r="H23" i="8"/>
  <c r="F24" i="8"/>
  <c r="G24" i="8"/>
  <c r="H24" i="8"/>
  <c r="F25" i="8"/>
  <c r="G25" i="8"/>
  <c r="H25" i="8"/>
  <c r="F26" i="8"/>
  <c r="G26" i="8"/>
  <c r="H26" i="8"/>
  <c r="F27" i="8"/>
  <c r="G27" i="8"/>
  <c r="H27" i="8"/>
  <c r="F28" i="8"/>
  <c r="G28" i="8"/>
  <c r="H28" i="8"/>
  <c r="F29" i="8"/>
  <c r="G29" i="8"/>
  <c r="H29" i="8"/>
  <c r="F30" i="8"/>
  <c r="G30" i="8"/>
  <c r="H30" i="8"/>
  <c r="F31" i="8"/>
  <c r="G31" i="8"/>
  <c r="H31" i="8"/>
  <c r="F32" i="8"/>
  <c r="G32" i="8"/>
  <c r="H32" i="8"/>
  <c r="F33" i="8"/>
  <c r="G33" i="8"/>
  <c r="H33" i="8"/>
  <c r="F34" i="8"/>
  <c r="G34" i="8"/>
  <c r="H34" i="8"/>
  <c r="F35" i="8"/>
  <c r="G35" i="8"/>
  <c r="H35" i="8"/>
  <c r="F36" i="8"/>
  <c r="G36" i="8"/>
  <c r="H36" i="8"/>
  <c r="F37" i="8"/>
  <c r="G37" i="8"/>
  <c r="H37" i="8"/>
  <c r="F38" i="8"/>
  <c r="G38" i="8"/>
  <c r="H38" i="8"/>
  <c r="F39" i="8"/>
  <c r="G39" i="8"/>
  <c r="H39" i="8"/>
  <c r="F40" i="8"/>
  <c r="G40" i="8"/>
  <c r="H40" i="8"/>
  <c r="F41" i="8"/>
  <c r="G41" i="8"/>
  <c r="H41" i="8"/>
  <c r="F42" i="8"/>
  <c r="G42" i="8"/>
  <c r="H42" i="8"/>
  <c r="F43" i="8"/>
  <c r="G43" i="8"/>
  <c r="H43" i="8"/>
  <c r="F44" i="8"/>
  <c r="G44" i="8"/>
  <c r="H44" i="8"/>
  <c r="F45" i="8"/>
  <c r="G45" i="8"/>
  <c r="H45" i="8"/>
  <c r="F46" i="8"/>
  <c r="G46" i="8"/>
  <c r="H46" i="8"/>
  <c r="F47" i="8"/>
  <c r="G47" i="8"/>
  <c r="H47" i="8"/>
  <c r="F48" i="8"/>
  <c r="G48" i="8"/>
  <c r="H48" i="8"/>
  <c r="F49" i="8"/>
  <c r="G49" i="8"/>
  <c r="H49" i="8"/>
  <c r="F50" i="8"/>
  <c r="G50" i="8"/>
  <c r="H50" i="8"/>
  <c r="F51" i="8"/>
  <c r="G51" i="8"/>
  <c r="H51" i="8"/>
  <c r="F52" i="8"/>
  <c r="G52" i="8"/>
  <c r="H52" i="8"/>
  <c r="F53" i="8"/>
  <c r="G53" i="8"/>
  <c r="H53" i="8"/>
  <c r="F54" i="8"/>
  <c r="G54" i="8"/>
  <c r="H54" i="8"/>
  <c r="F55" i="8"/>
  <c r="G55" i="8"/>
  <c r="H55" i="8"/>
  <c r="F56" i="8"/>
  <c r="G56" i="8"/>
  <c r="H56" i="8"/>
  <c r="F57" i="8"/>
  <c r="G57" i="8"/>
  <c r="H57" i="8"/>
  <c r="F58" i="8"/>
  <c r="G58" i="8"/>
  <c r="H58" i="8"/>
  <c r="F59" i="8"/>
  <c r="G59" i="8"/>
  <c r="H59" i="8"/>
  <c r="F60" i="8"/>
  <c r="G60" i="8"/>
  <c r="H60" i="8"/>
  <c r="F61" i="8"/>
  <c r="G61" i="8"/>
  <c r="H61" i="8"/>
  <c r="F62" i="8"/>
  <c r="G62" i="8"/>
  <c r="H62" i="8"/>
  <c r="F63" i="8"/>
  <c r="G63" i="8"/>
  <c r="H63" i="8"/>
  <c r="F64" i="8"/>
  <c r="G64" i="8"/>
  <c r="H64" i="8"/>
  <c r="F65" i="8"/>
  <c r="G65" i="8"/>
  <c r="H65" i="8"/>
  <c r="F66" i="8"/>
  <c r="G66" i="8"/>
  <c r="H66" i="8"/>
  <c r="F67" i="8"/>
  <c r="G67" i="8"/>
  <c r="H67" i="8"/>
  <c r="F68" i="8"/>
  <c r="G68" i="8"/>
  <c r="H68" i="8"/>
  <c r="F69" i="8"/>
  <c r="G69" i="8"/>
  <c r="H69" i="8"/>
  <c r="F70" i="8"/>
  <c r="G70" i="8"/>
  <c r="H70" i="8"/>
  <c r="F71" i="8"/>
  <c r="G71" i="8"/>
  <c r="H71" i="8"/>
  <c r="F72" i="8"/>
  <c r="G72" i="8"/>
  <c r="H72" i="8"/>
  <c r="F73" i="8"/>
  <c r="G73" i="8"/>
  <c r="H73" i="8"/>
  <c r="F74" i="8"/>
  <c r="G74" i="8"/>
  <c r="H74" i="8"/>
  <c r="F75" i="8"/>
  <c r="G75" i="8"/>
  <c r="H75" i="8"/>
  <c r="F76" i="8"/>
  <c r="G76" i="8"/>
  <c r="H76" i="8"/>
  <c r="F77" i="8"/>
  <c r="G77" i="8"/>
  <c r="H77" i="8"/>
  <c r="F78" i="8"/>
  <c r="G78" i="8"/>
  <c r="H78" i="8"/>
  <c r="F79" i="8"/>
  <c r="G79" i="8"/>
  <c r="H79" i="8"/>
  <c r="F80" i="8"/>
  <c r="G80" i="8"/>
  <c r="H80" i="8"/>
  <c r="F81" i="8"/>
  <c r="G81" i="8"/>
  <c r="H81" i="8"/>
  <c r="F82" i="8"/>
  <c r="G82" i="8"/>
  <c r="H82" i="8"/>
  <c r="F83" i="8"/>
  <c r="G83" i="8"/>
  <c r="H83" i="8"/>
  <c r="F84" i="8"/>
  <c r="G84" i="8"/>
  <c r="H84" i="8"/>
  <c r="F85" i="8"/>
  <c r="G85" i="8"/>
  <c r="H85" i="8"/>
  <c r="F86" i="8"/>
  <c r="G86" i="8"/>
  <c r="H86" i="8"/>
  <c r="F87" i="8"/>
  <c r="G87" i="8"/>
  <c r="H87" i="8"/>
  <c r="F88" i="8"/>
  <c r="G88" i="8"/>
  <c r="H88" i="8"/>
  <c r="F89" i="8"/>
  <c r="G89" i="8"/>
  <c r="H89" i="8"/>
  <c r="F90" i="8"/>
  <c r="G90" i="8"/>
  <c r="H90" i="8"/>
  <c r="F91" i="8"/>
  <c r="G91" i="8"/>
  <c r="H91" i="8"/>
  <c r="F92" i="8"/>
  <c r="G92" i="8"/>
  <c r="H92" i="8"/>
  <c r="F93" i="8"/>
  <c r="G93" i="8"/>
  <c r="H93" i="8"/>
  <c r="F94" i="8"/>
  <c r="G94" i="8"/>
  <c r="H94" i="8"/>
  <c r="F95" i="8"/>
  <c r="G95" i="8"/>
  <c r="H95" i="8"/>
  <c r="F96" i="8"/>
  <c r="G96" i="8"/>
  <c r="H96" i="8"/>
  <c r="F97" i="8"/>
  <c r="G97" i="8"/>
  <c r="H97" i="8"/>
  <c r="F98" i="8"/>
  <c r="G98" i="8"/>
  <c r="H98" i="8"/>
  <c r="F99" i="8"/>
  <c r="G99" i="8"/>
  <c r="H99" i="8"/>
  <c r="F100" i="8"/>
  <c r="G100" i="8"/>
  <c r="H100" i="8"/>
  <c r="F101" i="8"/>
  <c r="G101" i="8"/>
  <c r="H101" i="8"/>
  <c r="F102" i="8"/>
  <c r="G102" i="8"/>
  <c r="H102" i="8"/>
  <c r="F103" i="8"/>
  <c r="G103" i="8"/>
  <c r="H103" i="8"/>
  <c r="F104" i="8"/>
  <c r="G104" i="8"/>
  <c r="H104" i="8"/>
  <c r="F105" i="8"/>
  <c r="G105" i="8"/>
  <c r="H105" i="8"/>
  <c r="F106" i="8"/>
  <c r="G106" i="8"/>
  <c r="H106" i="8"/>
  <c r="F107" i="8"/>
  <c r="G107" i="8"/>
  <c r="H107" i="8"/>
  <c r="F108" i="8"/>
  <c r="G108" i="8"/>
  <c r="H108" i="8"/>
  <c r="F109" i="8"/>
  <c r="G109" i="8"/>
  <c r="H109" i="8"/>
  <c r="F110" i="8"/>
  <c r="G110" i="8"/>
  <c r="H110" i="8"/>
  <c r="F111" i="8"/>
  <c r="G111" i="8"/>
  <c r="H111" i="8"/>
  <c r="F112" i="8"/>
  <c r="G112" i="8"/>
  <c r="H112" i="8"/>
  <c r="F113" i="8"/>
  <c r="G113" i="8"/>
  <c r="H113" i="8"/>
  <c r="F114" i="8"/>
  <c r="G114" i="8"/>
  <c r="H114" i="8"/>
  <c r="F115" i="8"/>
  <c r="G115" i="8"/>
  <c r="H115" i="8"/>
  <c r="F116" i="8"/>
  <c r="G116" i="8"/>
  <c r="H116" i="8"/>
  <c r="F117" i="8"/>
  <c r="G117" i="8"/>
  <c r="H117" i="8"/>
  <c r="F118" i="8"/>
  <c r="G118" i="8"/>
  <c r="H118" i="8"/>
  <c r="F119" i="8"/>
  <c r="G119" i="8"/>
  <c r="H119" i="8"/>
  <c r="F120" i="8"/>
  <c r="G120" i="8"/>
  <c r="H120" i="8"/>
  <c r="F121" i="8"/>
  <c r="G121" i="8"/>
  <c r="H121" i="8"/>
  <c r="F122" i="8"/>
  <c r="G122" i="8"/>
  <c r="H122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B4" i="8"/>
  <c r="B5" i="8"/>
  <c r="B6" i="8"/>
  <c r="B7" i="8"/>
  <c r="B8" i="8"/>
  <c r="B9" i="8"/>
  <c r="B10" i="8"/>
  <c r="I10" i="8" s="1" a="1"/>
  <c r="I10" i="8" s="1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I29" i="8" s="1" a="1"/>
  <c r="I29" i="8" s="1"/>
  <c r="B30" i="8"/>
  <c r="B31" i="8"/>
  <c r="B32" i="8"/>
  <c r="B33" i="8"/>
  <c r="B34" i="8"/>
  <c r="B35" i="8"/>
  <c r="B36" i="8"/>
  <c r="B37" i="8"/>
  <c r="I37" i="8" s="1" a="1"/>
  <c r="I37" i="8" s="1"/>
  <c r="B38" i="8"/>
  <c r="B39" i="8"/>
  <c r="B40" i="8"/>
  <c r="B41" i="8"/>
  <c r="B42" i="8"/>
  <c r="B43" i="8"/>
  <c r="B44" i="8"/>
  <c r="B45" i="8"/>
  <c r="I45" i="8" s="1" a="1"/>
  <c r="I45" i="8" s="1"/>
  <c r="B46" i="8"/>
  <c r="B47" i="8"/>
  <c r="B48" i="8"/>
  <c r="B49" i="8"/>
  <c r="B50" i="8"/>
  <c r="B51" i="8"/>
  <c r="B52" i="8"/>
  <c r="B53" i="8"/>
  <c r="I53" i="8" s="1" a="1"/>
  <c r="I53" i="8" s="1"/>
  <c r="B54" i="8"/>
  <c r="B55" i="8"/>
  <c r="B56" i="8"/>
  <c r="B57" i="8"/>
  <c r="B58" i="8"/>
  <c r="B59" i="8"/>
  <c r="B60" i="8"/>
  <c r="B61" i="8"/>
  <c r="I61" i="8" s="1" a="1"/>
  <c r="I61" i="8" s="1"/>
  <c r="B62" i="8"/>
  <c r="B63" i="8"/>
  <c r="B64" i="8"/>
  <c r="B65" i="8"/>
  <c r="B66" i="8"/>
  <c r="B67" i="8"/>
  <c r="B68" i="8"/>
  <c r="B69" i="8"/>
  <c r="I69" i="8" s="1" a="1"/>
  <c r="I69" i="8" s="1"/>
  <c r="B70" i="8"/>
  <c r="B71" i="8"/>
  <c r="B72" i="8"/>
  <c r="B73" i="8"/>
  <c r="B74" i="8"/>
  <c r="B75" i="8"/>
  <c r="B76" i="8"/>
  <c r="B77" i="8"/>
  <c r="I77" i="8" s="1" a="1"/>
  <c r="I77" i="8" s="1"/>
  <c r="B78" i="8"/>
  <c r="B79" i="8"/>
  <c r="B80" i="8"/>
  <c r="B81" i="8"/>
  <c r="B82" i="8"/>
  <c r="B83" i="8"/>
  <c r="B84" i="8"/>
  <c r="B85" i="8"/>
  <c r="I85" i="8" s="1" a="1"/>
  <c r="I85" i="8" s="1"/>
  <c r="B86" i="8"/>
  <c r="B87" i="8"/>
  <c r="B88" i="8"/>
  <c r="B89" i="8"/>
  <c r="B90" i="8"/>
  <c r="B91" i="8"/>
  <c r="B92" i="8"/>
  <c r="B93" i="8"/>
  <c r="I93" i="8" s="1" a="1"/>
  <c r="I93" i="8" s="1"/>
  <c r="B94" i="8"/>
  <c r="B95" i="8"/>
  <c r="B96" i="8"/>
  <c r="B97" i="8"/>
  <c r="B98" i="8"/>
  <c r="B99" i="8"/>
  <c r="B100" i="8"/>
  <c r="B101" i="8"/>
  <c r="I101" i="8" s="1" a="1"/>
  <c r="I101" i="8" s="1"/>
  <c r="B102" i="8"/>
  <c r="B103" i="8"/>
  <c r="B104" i="8"/>
  <c r="B105" i="8"/>
  <c r="B106" i="8"/>
  <c r="B107" i="8"/>
  <c r="B108" i="8"/>
  <c r="B109" i="8"/>
  <c r="I109" i="8" s="1" a="1"/>
  <c r="I109" i="8" s="1"/>
  <c r="B110" i="8"/>
  <c r="B111" i="8"/>
  <c r="B112" i="8"/>
  <c r="B113" i="8"/>
  <c r="B114" i="8"/>
  <c r="B115" i="8"/>
  <c r="B116" i="8"/>
  <c r="B117" i="8"/>
  <c r="I117" i="8" s="1" a="1"/>
  <c r="I117" i="8" s="1"/>
  <c r="B118" i="8"/>
  <c r="B119" i="8"/>
  <c r="B120" i="8"/>
  <c r="B121" i="8"/>
  <c r="B122" i="8"/>
  <c r="N18" i="12" l="1"/>
  <c r="M18" i="12"/>
  <c r="J18" i="12"/>
  <c r="Q17" i="12"/>
  <c r="C17" i="12" s="1"/>
  <c r="L18" i="12"/>
  <c r="O19" i="12"/>
  <c r="P20" i="12"/>
  <c r="K18" i="12"/>
  <c r="Q16" i="12"/>
  <c r="W16" i="12"/>
  <c r="AD16" i="12" s="1"/>
  <c r="X16" i="12"/>
  <c r="AE16" i="12" s="1"/>
  <c r="AB16" i="12"/>
  <c r="AC16" i="12"/>
  <c r="J16" i="6"/>
  <c r="V16" i="6" s="1"/>
  <c r="AC16" i="6" s="1"/>
  <c r="K16" i="6"/>
  <c r="K17" i="6" s="1"/>
  <c r="K18" i="6" s="1"/>
  <c r="K19" i="6" s="1"/>
  <c r="K20" i="6" s="1"/>
  <c r="O16" i="6"/>
  <c r="O17" i="6" s="1"/>
  <c r="O18" i="6" s="1"/>
  <c r="P16" i="6"/>
  <c r="P17" i="6" s="1"/>
  <c r="P18" i="6" s="1"/>
  <c r="N16" i="6"/>
  <c r="N17" i="6" s="1"/>
  <c r="N18" i="6" s="1"/>
  <c r="N19" i="6" s="1"/>
  <c r="M16" i="6"/>
  <c r="L16" i="6"/>
  <c r="I16" i="11"/>
  <c r="AB16" i="6"/>
  <c r="AI16" i="6" s="1"/>
  <c r="I13" i="8" a="1"/>
  <c r="I13" i="8" s="1"/>
  <c r="I21" i="8" a="1"/>
  <c r="I21" i="8" s="1"/>
  <c r="I5" i="8" a="1"/>
  <c r="I5" i="8" s="1"/>
  <c r="I9" i="8" a="1"/>
  <c r="I9" i="8" s="1"/>
  <c r="I107" i="8" a="1"/>
  <c r="I107" i="8" s="1"/>
  <c r="I105" i="8" a="1"/>
  <c r="I105" i="8" s="1"/>
  <c r="I89" i="8" a="1"/>
  <c r="I89" i="8" s="1"/>
  <c r="I65" i="8" a="1"/>
  <c r="I65" i="8" s="1"/>
  <c r="I41" i="8" a="1"/>
  <c r="I41" i="8" s="1"/>
  <c r="I33" i="8" a="1"/>
  <c r="I33" i="8" s="1"/>
  <c r="I25" i="8" a="1"/>
  <c r="I25" i="8" s="1"/>
  <c r="I17" i="8" a="1"/>
  <c r="I17" i="8" s="1"/>
  <c r="I122" i="8" a="1"/>
  <c r="I122" i="8" s="1"/>
  <c r="I114" i="8" a="1"/>
  <c r="I114" i="8" s="1"/>
  <c r="I106" i="8" a="1"/>
  <c r="I106" i="8" s="1"/>
  <c r="I98" i="8" a="1"/>
  <c r="I98" i="8" s="1"/>
  <c r="I90" i="8" a="1"/>
  <c r="I90" i="8" s="1"/>
  <c r="I34" i="8" a="1"/>
  <c r="I34" i="8" s="1"/>
  <c r="I26" i="8" a="1"/>
  <c r="I26" i="8" s="1"/>
  <c r="I18" i="8" a="1"/>
  <c r="I18" i="8" s="1"/>
  <c r="I113" i="8" a="1"/>
  <c r="I113" i="8" s="1"/>
  <c r="I81" i="8" a="1"/>
  <c r="I81" i="8" s="1"/>
  <c r="I57" i="8" a="1"/>
  <c r="I57" i="8" s="1"/>
  <c r="I120" i="8" a="1"/>
  <c r="I120" i="8" s="1"/>
  <c r="I104" i="8" a="1"/>
  <c r="I104" i="8" s="1"/>
  <c r="I88" i="8" a="1"/>
  <c r="I88" i="8" s="1"/>
  <c r="I72" i="8" a="1"/>
  <c r="I72" i="8" s="1"/>
  <c r="I56" i="8" a="1"/>
  <c r="I56" i="8" s="1"/>
  <c r="I40" i="8" a="1"/>
  <c r="I40" i="8" s="1"/>
  <c r="I32" i="8" a="1"/>
  <c r="I32" i="8" s="1"/>
  <c r="I24" i="8" a="1"/>
  <c r="I24" i="8" s="1"/>
  <c r="I16" i="8" a="1"/>
  <c r="I16" i="8" s="1"/>
  <c r="I8" i="8" a="1"/>
  <c r="I8" i="8" s="1"/>
  <c r="I121" i="8" a="1"/>
  <c r="I121" i="8" s="1"/>
  <c r="I97" i="8" a="1"/>
  <c r="I97" i="8" s="1"/>
  <c r="I73" i="8" a="1"/>
  <c r="I73" i="8" s="1"/>
  <c r="I49" i="8" a="1"/>
  <c r="I49" i="8" s="1"/>
  <c r="I112" i="8" a="1"/>
  <c r="I112" i="8" s="1"/>
  <c r="I96" i="8" a="1"/>
  <c r="I96" i="8" s="1"/>
  <c r="I80" i="8" a="1"/>
  <c r="I80" i="8" s="1"/>
  <c r="I64" i="8" a="1"/>
  <c r="I64" i="8" s="1"/>
  <c r="I48" i="8" a="1"/>
  <c r="I48" i="8" s="1"/>
  <c r="I15" i="8" a="1"/>
  <c r="I15" i="8" s="1"/>
  <c r="I7" i="8" a="1"/>
  <c r="I7" i="8" s="1"/>
  <c r="I79" i="8" a="1"/>
  <c r="I79" i="8" s="1"/>
  <c r="I39" i="8" a="1"/>
  <c r="I39" i="8" s="1"/>
  <c r="I92" i="8" a="1"/>
  <c r="I92" i="8" s="1"/>
  <c r="I102" i="8" a="1"/>
  <c r="I102" i="8" s="1"/>
  <c r="I46" i="8" a="1"/>
  <c r="I46" i="8" s="1"/>
  <c r="I14" i="8" a="1"/>
  <c r="I14" i="8" s="1"/>
  <c r="I91" i="8" a="1"/>
  <c r="I91" i="8" s="1"/>
  <c r="I19" i="8" a="1"/>
  <c r="I19" i="8" s="1"/>
  <c r="I82" i="8" a="1"/>
  <c r="I82" i="8" s="1"/>
  <c r="I74" i="8" a="1"/>
  <c r="I74" i="8" s="1"/>
  <c r="I66" i="8" a="1"/>
  <c r="I66" i="8" s="1"/>
  <c r="I58" i="8" a="1"/>
  <c r="I58" i="8" s="1"/>
  <c r="I50" i="8" a="1"/>
  <c r="I50" i="8" s="1"/>
  <c r="I42" i="8" a="1"/>
  <c r="I42" i="8" s="1"/>
  <c r="I63" i="8" a="1"/>
  <c r="I63" i="8" s="1"/>
  <c r="I55" i="8" a="1"/>
  <c r="I55" i="8" s="1"/>
  <c r="I100" i="8" a="1"/>
  <c r="I100" i="8" s="1"/>
  <c r="I111" i="8" a="1"/>
  <c r="I111" i="8" s="1"/>
  <c r="I60" i="8" a="1"/>
  <c r="I60" i="8" s="1"/>
  <c r="I94" i="8" a="1"/>
  <c r="I94" i="8" s="1"/>
  <c r="I30" i="8" a="1"/>
  <c r="I30" i="8" s="1"/>
  <c r="I84" i="8" a="1"/>
  <c r="I84" i="8" s="1"/>
  <c r="I95" i="8" a="1"/>
  <c r="I95" i="8" s="1"/>
  <c r="I23" i="8" a="1"/>
  <c r="I23" i="8" s="1"/>
  <c r="I118" i="8" a="1"/>
  <c r="I118" i="8" s="1"/>
  <c r="I78" i="8" a="1"/>
  <c r="I78" i="8" s="1"/>
  <c r="I54" i="8" a="1"/>
  <c r="I54" i="8" s="1"/>
  <c r="I6" i="8" a="1"/>
  <c r="I6" i="8" s="1"/>
  <c r="I99" i="8" a="1"/>
  <c r="I99" i="8" s="1"/>
  <c r="I83" i="8" a="1"/>
  <c r="I83" i="8" s="1"/>
  <c r="I27" i="8" a="1"/>
  <c r="I27" i="8" s="1"/>
  <c r="I11" i="8" a="1"/>
  <c r="I11" i="8" s="1"/>
  <c r="I71" i="8" a="1"/>
  <c r="I71" i="8" s="1"/>
  <c r="I103" i="8" a="1"/>
  <c r="I103" i="8" s="1"/>
  <c r="I31" i="8" a="1"/>
  <c r="I31" i="8" s="1"/>
  <c r="I110" i="8" a="1"/>
  <c r="I110" i="8" s="1"/>
  <c r="I62" i="8" a="1"/>
  <c r="I62" i="8" s="1"/>
  <c r="I22" i="8" a="1"/>
  <c r="I22" i="8" s="1"/>
  <c r="I108" i="8" a="1"/>
  <c r="I108" i="8" s="1"/>
  <c r="I44" i="8" a="1"/>
  <c r="I44" i="8" s="1"/>
  <c r="I36" i="8" a="1"/>
  <c r="I36" i="8" s="1"/>
  <c r="I28" i="8" a="1"/>
  <c r="I28" i="8" s="1"/>
  <c r="I20" i="8" a="1"/>
  <c r="I20" i="8" s="1"/>
  <c r="I12" i="8" a="1"/>
  <c r="I12" i="8" s="1"/>
  <c r="I4" i="8" a="1"/>
  <c r="I4" i="8" s="1"/>
  <c r="J4" i="8" s="1"/>
  <c r="I76" i="8" a="1"/>
  <c r="I76" i="8" s="1"/>
  <c r="I119" i="8" a="1"/>
  <c r="I119" i="8" s="1"/>
  <c r="I87" i="8" a="1"/>
  <c r="I87" i="8" s="1"/>
  <c r="I47" i="8" a="1"/>
  <c r="I47" i="8" s="1"/>
  <c r="I68" i="8" a="1"/>
  <c r="I68" i="8" s="1"/>
  <c r="I52" i="8" a="1"/>
  <c r="I52" i="8" s="1"/>
  <c r="I86" i="8" a="1"/>
  <c r="I86" i="8" s="1"/>
  <c r="I70" i="8" a="1"/>
  <c r="I70" i="8" s="1"/>
  <c r="I38" i="8" a="1"/>
  <c r="I38" i="8" s="1"/>
  <c r="I115" i="8" a="1"/>
  <c r="I115" i="8" s="1"/>
  <c r="I116" i="8" a="1"/>
  <c r="I116" i="8" s="1"/>
  <c r="I75" i="8" a="1"/>
  <c r="I75" i="8" s="1"/>
  <c r="I67" i="8" a="1"/>
  <c r="I67" i="8" s="1"/>
  <c r="I59" i="8" a="1"/>
  <c r="I59" i="8" s="1"/>
  <c r="I51" i="8" a="1"/>
  <c r="I51" i="8" s="1"/>
  <c r="I43" i="8" a="1"/>
  <c r="I43" i="8" s="1"/>
  <c r="I35" i="8" a="1"/>
  <c r="I35" i="8" s="1"/>
  <c r="J17" i="6" l="1"/>
  <c r="AA16" i="6"/>
  <c r="AH16" i="6" s="1"/>
  <c r="W16" i="6"/>
  <c r="AD16" i="6" s="1"/>
  <c r="M19" i="12"/>
  <c r="F17" i="12"/>
  <c r="R16" i="12"/>
  <c r="S16" i="12"/>
  <c r="B17" i="12" s="1"/>
  <c r="E17" i="12"/>
  <c r="D17" i="12"/>
  <c r="T17" i="12" s="1"/>
  <c r="U17" i="12" s="1"/>
  <c r="K19" i="12"/>
  <c r="Q18" i="12"/>
  <c r="C18" i="12"/>
  <c r="J19" i="12"/>
  <c r="O20" i="12"/>
  <c r="N19" i="12"/>
  <c r="R17" i="12"/>
  <c r="S17" i="12"/>
  <c r="B18" i="12" s="1"/>
  <c r="H17" i="12"/>
  <c r="I17" i="12"/>
  <c r="P21" i="12"/>
  <c r="L19" i="12"/>
  <c r="G17" i="12"/>
  <c r="Y16" i="12"/>
  <c r="AF16" i="12" s="1"/>
  <c r="AA16" i="12"/>
  <c r="AH16" i="12" s="1"/>
  <c r="Z16" i="12"/>
  <c r="AG16" i="12" s="1"/>
  <c r="M17" i="6"/>
  <c r="M18" i="6" s="1"/>
  <c r="M19" i="6" s="1"/>
  <c r="Y16" i="6"/>
  <c r="AF16" i="6" s="1"/>
  <c r="Z16" i="6"/>
  <c r="AG16" i="6" s="1"/>
  <c r="L17" i="6"/>
  <c r="L18" i="6" s="1"/>
  <c r="L19" i="6" s="1"/>
  <c r="X16" i="6"/>
  <c r="AE16" i="6" s="1"/>
  <c r="Q16" i="6"/>
  <c r="R16" i="6" s="1"/>
  <c r="K21" i="6"/>
  <c r="O19" i="6"/>
  <c r="J18" i="6"/>
  <c r="N20" i="6"/>
  <c r="P19" i="6"/>
  <c r="K4" i="8"/>
  <c r="L4" i="8"/>
  <c r="J5" i="8"/>
  <c r="J6" i="8" s="1"/>
  <c r="J7" i="8" s="1"/>
  <c r="J8" i="8" s="1"/>
  <c r="J9" i="8" s="1"/>
  <c r="J10" i="8" s="1"/>
  <c r="J11" i="8" s="1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J33" i="8" s="1"/>
  <c r="J34" i="8" s="1"/>
  <c r="J35" i="8" s="1"/>
  <c r="J36" i="8" s="1"/>
  <c r="J37" i="8" s="1"/>
  <c r="J38" i="8" s="1"/>
  <c r="J39" i="8" s="1"/>
  <c r="J40" i="8" s="1"/>
  <c r="J41" i="8" s="1"/>
  <c r="J42" i="8" s="1"/>
  <c r="J43" i="8" s="1"/>
  <c r="J44" i="8" s="1"/>
  <c r="J45" i="8" s="1"/>
  <c r="J46" i="8" s="1"/>
  <c r="J47" i="8" s="1"/>
  <c r="J48" i="8" s="1"/>
  <c r="J49" i="8" s="1"/>
  <c r="J50" i="8" s="1"/>
  <c r="J51" i="8" s="1"/>
  <c r="J52" i="8" s="1"/>
  <c r="J53" i="8" s="1"/>
  <c r="J54" i="8" s="1"/>
  <c r="J55" i="8" s="1"/>
  <c r="J56" i="8" s="1"/>
  <c r="J57" i="8" s="1"/>
  <c r="J58" i="8" s="1"/>
  <c r="J59" i="8" s="1"/>
  <c r="J60" i="8" s="1"/>
  <c r="J61" i="8" s="1"/>
  <c r="J62" i="8" s="1"/>
  <c r="J63" i="8" s="1"/>
  <c r="J64" i="8" s="1"/>
  <c r="J65" i="8" s="1"/>
  <c r="J66" i="8" s="1"/>
  <c r="J67" i="8" s="1"/>
  <c r="J68" i="8" s="1"/>
  <c r="J69" i="8" s="1"/>
  <c r="J70" i="8" s="1"/>
  <c r="J71" i="8" s="1"/>
  <c r="J72" i="8" s="1"/>
  <c r="J73" i="8" s="1"/>
  <c r="J74" i="8" s="1"/>
  <c r="J75" i="8" s="1"/>
  <c r="J76" i="8" s="1"/>
  <c r="J77" i="8" s="1"/>
  <c r="J78" i="8" s="1"/>
  <c r="J79" i="8" s="1"/>
  <c r="J80" i="8" s="1"/>
  <c r="J81" i="8" s="1"/>
  <c r="J82" i="8" s="1"/>
  <c r="J83" i="8" s="1"/>
  <c r="J84" i="8" s="1"/>
  <c r="J85" i="8" s="1"/>
  <c r="J86" i="8" s="1"/>
  <c r="J87" i="8" s="1"/>
  <c r="J88" i="8" s="1"/>
  <c r="J89" i="8" s="1"/>
  <c r="J90" i="8" s="1"/>
  <c r="J91" i="8" s="1"/>
  <c r="J92" i="8" s="1"/>
  <c r="J93" i="8" s="1"/>
  <c r="J94" i="8" s="1"/>
  <c r="J95" i="8" s="1"/>
  <c r="J96" i="8" s="1"/>
  <c r="J97" i="8" s="1"/>
  <c r="J98" i="8" s="1"/>
  <c r="J99" i="8" s="1"/>
  <c r="J100" i="8" s="1"/>
  <c r="J101" i="8" s="1"/>
  <c r="J102" i="8" s="1"/>
  <c r="J103" i="8" s="1"/>
  <c r="J104" i="8" s="1"/>
  <c r="J105" i="8" s="1"/>
  <c r="J106" i="8" s="1"/>
  <c r="J107" i="8" s="1"/>
  <c r="J108" i="8" s="1"/>
  <c r="J109" i="8" s="1"/>
  <c r="J110" i="8" s="1"/>
  <c r="J111" i="8" s="1"/>
  <c r="J112" i="8" s="1"/>
  <c r="J113" i="8" s="1"/>
  <c r="J114" i="8" s="1"/>
  <c r="J115" i="8" s="1"/>
  <c r="J116" i="8" s="1"/>
  <c r="J117" i="8" s="1"/>
  <c r="J118" i="8" s="1"/>
  <c r="J119" i="8" s="1"/>
  <c r="J120" i="8" s="1"/>
  <c r="J121" i="8" s="1"/>
  <c r="J122" i="8" s="1"/>
  <c r="B1" i="5" a="1"/>
  <c r="B1" i="5" s="1"/>
  <c r="B2" i="5"/>
  <c r="AJ16" i="6" l="1"/>
  <c r="J20" i="12"/>
  <c r="Q19" i="12"/>
  <c r="E19" i="12"/>
  <c r="L20" i="12"/>
  <c r="G19" i="12"/>
  <c r="N20" i="12"/>
  <c r="O21" i="12"/>
  <c r="R18" i="12"/>
  <c r="S18" i="12"/>
  <c r="B19" i="12" s="1"/>
  <c r="I18" i="12"/>
  <c r="H18" i="12"/>
  <c r="F18" i="12"/>
  <c r="T18" i="12"/>
  <c r="U18" i="12" s="1"/>
  <c r="D18" i="12"/>
  <c r="M20" i="12"/>
  <c r="P22" i="12"/>
  <c r="AI16" i="12"/>
  <c r="E18" i="12"/>
  <c r="G18" i="12"/>
  <c r="K20" i="12"/>
  <c r="Q17" i="6"/>
  <c r="D17" i="6" s="1"/>
  <c r="C17" i="11" s="1"/>
  <c r="S16" i="6"/>
  <c r="B17" i="6" s="1"/>
  <c r="R17" i="6"/>
  <c r="S17" i="6"/>
  <c r="B18" i="6" s="1"/>
  <c r="M20" i="6"/>
  <c r="P20" i="6"/>
  <c r="J19" i="6"/>
  <c r="Q18" i="6"/>
  <c r="O20" i="6"/>
  <c r="L20" i="6"/>
  <c r="N21" i="6"/>
  <c r="K22" i="6"/>
  <c r="B3" i="5"/>
  <c r="K5" i="8"/>
  <c r="K6" i="8"/>
  <c r="L5" i="8"/>
  <c r="C17" i="6" l="1"/>
  <c r="E17" i="6"/>
  <c r="D17" i="11" s="1"/>
  <c r="I17" i="6"/>
  <c r="H17" i="11" s="1"/>
  <c r="G17" i="6"/>
  <c r="F17" i="11" s="1"/>
  <c r="F17" i="6"/>
  <c r="E17" i="11" s="1"/>
  <c r="H17" i="6"/>
  <c r="G17" i="11" s="1"/>
  <c r="O22" i="12"/>
  <c r="K21" i="12"/>
  <c r="L21" i="12"/>
  <c r="E20" i="12"/>
  <c r="P23" i="12"/>
  <c r="N21" i="12"/>
  <c r="R19" i="12"/>
  <c r="S19" i="12" s="1"/>
  <c r="B20" i="12" s="1"/>
  <c r="I19" i="12"/>
  <c r="H19" i="12"/>
  <c r="M21" i="12"/>
  <c r="F20" i="12"/>
  <c r="C19" i="12"/>
  <c r="D19" i="12"/>
  <c r="F19" i="12"/>
  <c r="Q20" i="12"/>
  <c r="C20" i="12"/>
  <c r="J21" i="12"/>
  <c r="B17" i="11"/>
  <c r="O21" i="6"/>
  <c r="Q19" i="6"/>
  <c r="C19" i="6" s="1"/>
  <c r="J20" i="6"/>
  <c r="P21" i="6"/>
  <c r="L21" i="6"/>
  <c r="K23" i="6"/>
  <c r="R18" i="6"/>
  <c r="S18" i="6" s="1"/>
  <c r="B19" i="6" s="1"/>
  <c r="G18" i="6"/>
  <c r="F18" i="11" s="1"/>
  <c r="D18" i="6"/>
  <c r="C18" i="11" s="1"/>
  <c r="E18" i="6"/>
  <c r="D18" i="11" s="1"/>
  <c r="H18" i="6"/>
  <c r="G18" i="11" s="1"/>
  <c r="I18" i="6"/>
  <c r="H18" i="11" s="1"/>
  <c r="F18" i="6"/>
  <c r="E18" i="11" s="1"/>
  <c r="C18" i="6"/>
  <c r="N22" i="6"/>
  <c r="M21" i="6"/>
  <c r="K7" i="8"/>
  <c r="L6" i="8"/>
  <c r="I17" i="11" l="1"/>
  <c r="P24" i="12"/>
  <c r="M22" i="12"/>
  <c r="J22" i="12"/>
  <c r="Q21" i="12"/>
  <c r="T20" i="12"/>
  <c r="L22" i="12"/>
  <c r="R20" i="12"/>
  <c r="S20" i="12"/>
  <c r="B21" i="12" s="1"/>
  <c r="I20" i="12"/>
  <c r="H20" i="12"/>
  <c r="K22" i="12"/>
  <c r="D21" i="12"/>
  <c r="D20" i="12"/>
  <c r="G20" i="12"/>
  <c r="T19" i="12"/>
  <c r="U19" i="12" s="1"/>
  <c r="N22" i="12"/>
  <c r="O23" i="12"/>
  <c r="W17" i="6"/>
  <c r="AD17" i="6" s="1"/>
  <c r="AB17" i="6"/>
  <c r="AI17" i="6" s="1"/>
  <c r="V17" i="6"/>
  <c r="AC17" i="6" s="1"/>
  <c r="Z17" i="6"/>
  <c r="AG17" i="6" s="1"/>
  <c r="AA17" i="6"/>
  <c r="AH17" i="6" s="1"/>
  <c r="Y17" i="6"/>
  <c r="AF17" i="6" s="1"/>
  <c r="X17" i="6"/>
  <c r="AE17" i="6" s="1"/>
  <c r="P22" i="6"/>
  <c r="B19" i="11"/>
  <c r="K24" i="6"/>
  <c r="N23" i="6"/>
  <c r="J21" i="6"/>
  <c r="Q20" i="6"/>
  <c r="C20" i="6" s="1"/>
  <c r="B18" i="11"/>
  <c r="I18" i="11" s="1"/>
  <c r="R19" i="6"/>
  <c r="S19" i="6" s="1"/>
  <c r="B20" i="6" s="1"/>
  <c r="D19" i="6"/>
  <c r="C19" i="11" s="1"/>
  <c r="G19" i="6"/>
  <c r="F19" i="11" s="1"/>
  <c r="H19" i="6"/>
  <c r="G19" i="11" s="1"/>
  <c r="I19" i="6"/>
  <c r="H19" i="11" s="1"/>
  <c r="F19" i="6"/>
  <c r="E19" i="11" s="1"/>
  <c r="E19" i="6"/>
  <c r="D19" i="11" s="1"/>
  <c r="O22" i="6"/>
  <c r="L22" i="6"/>
  <c r="M22" i="6"/>
  <c r="K8" i="8"/>
  <c r="L7" i="8"/>
  <c r="U20" i="12" l="1"/>
  <c r="W20" i="12"/>
  <c r="R21" i="12"/>
  <c r="S21" i="12" s="1"/>
  <c r="B22" i="12" s="1"/>
  <c r="I21" i="12"/>
  <c r="H21" i="12"/>
  <c r="G21" i="12"/>
  <c r="D22" i="12"/>
  <c r="K23" i="12"/>
  <c r="O24" i="12"/>
  <c r="Q22" i="12"/>
  <c r="C22" i="12" s="1"/>
  <c r="J23" i="12"/>
  <c r="M23" i="12"/>
  <c r="F22" i="12"/>
  <c r="C21" i="12"/>
  <c r="N23" i="12"/>
  <c r="F21" i="12"/>
  <c r="L23" i="12"/>
  <c r="E22" i="12"/>
  <c r="E21" i="12"/>
  <c r="P25" i="12"/>
  <c r="Y18" i="12"/>
  <c r="AF18" i="12" s="1"/>
  <c r="X18" i="12"/>
  <c r="AE18" i="12" s="1"/>
  <c r="W18" i="12"/>
  <c r="AD18" i="12" s="1"/>
  <c r="V18" i="12"/>
  <c r="AC18" i="12" s="1"/>
  <c r="Z18" i="12"/>
  <c r="AG18" i="12" s="1"/>
  <c r="AB18" i="12"/>
  <c r="AA18" i="12"/>
  <c r="AH18" i="12" s="1"/>
  <c r="AA17" i="12"/>
  <c r="AH17" i="12" s="1"/>
  <c r="Z17" i="12"/>
  <c r="AG17" i="12" s="1"/>
  <c r="Y17" i="12"/>
  <c r="AF17" i="12" s="1"/>
  <c r="AB17" i="12"/>
  <c r="X17" i="12"/>
  <c r="AE17" i="12" s="1"/>
  <c r="W17" i="12"/>
  <c r="AD17" i="12" s="1"/>
  <c r="V17" i="12"/>
  <c r="AC17" i="12" s="1"/>
  <c r="W18" i="6"/>
  <c r="AD18" i="6" s="1"/>
  <c r="Y18" i="6"/>
  <c r="AF18" i="6" s="1"/>
  <c r="X18" i="6"/>
  <c r="AE18" i="6" s="1"/>
  <c r="AB18" i="6"/>
  <c r="AI18" i="6" s="1"/>
  <c r="V18" i="6"/>
  <c r="AC18" i="6" s="1"/>
  <c r="Z18" i="6"/>
  <c r="AG18" i="6" s="1"/>
  <c r="AA18" i="6"/>
  <c r="AH18" i="6" s="1"/>
  <c r="AJ17" i="6"/>
  <c r="L23" i="6"/>
  <c r="N24" i="6"/>
  <c r="K25" i="6"/>
  <c r="I19" i="11"/>
  <c r="B20" i="11"/>
  <c r="J22" i="6"/>
  <c r="Q21" i="6"/>
  <c r="C21" i="6" s="1"/>
  <c r="O23" i="6"/>
  <c r="M23" i="6"/>
  <c r="R20" i="6"/>
  <c r="S20" i="6" s="1"/>
  <c r="B21" i="6" s="1"/>
  <c r="D20" i="6"/>
  <c r="C20" i="11" s="1"/>
  <c r="G20" i="6"/>
  <c r="F20" i="11" s="1"/>
  <c r="I20" i="6"/>
  <c r="H20" i="11" s="1"/>
  <c r="F20" i="6"/>
  <c r="E20" i="11" s="1"/>
  <c r="E20" i="6"/>
  <c r="D20" i="11" s="1"/>
  <c r="H20" i="6"/>
  <c r="G20" i="11" s="1"/>
  <c r="P23" i="6"/>
  <c r="K9" i="8"/>
  <c r="L8" i="8"/>
  <c r="M24" i="12" l="1"/>
  <c r="J24" i="12"/>
  <c r="Q23" i="12"/>
  <c r="C23" i="12" s="1"/>
  <c r="L24" i="12"/>
  <c r="R22" i="12"/>
  <c r="S22" i="12"/>
  <c r="B23" i="12" s="1"/>
  <c r="I22" i="12"/>
  <c r="H22" i="12"/>
  <c r="O25" i="12"/>
  <c r="N24" i="12"/>
  <c r="G22" i="12"/>
  <c r="T22" i="12" s="1"/>
  <c r="U22" i="12" s="1"/>
  <c r="P26" i="12"/>
  <c r="T21" i="12"/>
  <c r="U21" i="12" s="1"/>
  <c r="K24" i="12"/>
  <c r="AI17" i="12"/>
  <c r="AI18" i="12"/>
  <c r="AB19" i="6"/>
  <c r="AI19" i="6" s="1"/>
  <c r="W19" i="6"/>
  <c r="AD19" i="6" s="1"/>
  <c r="Y19" i="6"/>
  <c r="AF19" i="6" s="1"/>
  <c r="X19" i="6"/>
  <c r="AE19" i="6" s="1"/>
  <c r="V19" i="6"/>
  <c r="AC19" i="6" s="1"/>
  <c r="Z19" i="6"/>
  <c r="AG19" i="6" s="1"/>
  <c r="AA19" i="6"/>
  <c r="AH19" i="6" s="1"/>
  <c r="AJ18" i="6"/>
  <c r="I20" i="11"/>
  <c r="M24" i="6"/>
  <c r="O24" i="6"/>
  <c r="K26" i="6"/>
  <c r="B21" i="11"/>
  <c r="J23" i="6"/>
  <c r="Q22" i="6"/>
  <c r="C22" i="6" s="1"/>
  <c r="R21" i="6"/>
  <c r="S21" i="6" s="1"/>
  <c r="B22" i="6" s="1"/>
  <c r="D21" i="6"/>
  <c r="C21" i="11" s="1"/>
  <c r="G21" i="6"/>
  <c r="F21" i="11" s="1"/>
  <c r="F21" i="6"/>
  <c r="E21" i="11" s="1"/>
  <c r="E21" i="6"/>
  <c r="D21" i="11" s="1"/>
  <c r="I21" i="6"/>
  <c r="H21" i="11" s="1"/>
  <c r="H21" i="6"/>
  <c r="G21" i="11" s="1"/>
  <c r="N25" i="6"/>
  <c r="P24" i="6"/>
  <c r="L24" i="6"/>
  <c r="K10" i="8"/>
  <c r="L9" i="8"/>
  <c r="G23" i="12" l="1"/>
  <c r="E23" i="12"/>
  <c r="N25" i="12"/>
  <c r="G24" i="12"/>
  <c r="D23" i="12"/>
  <c r="T23" i="12" s="1"/>
  <c r="U23" i="12" s="1"/>
  <c r="O26" i="12"/>
  <c r="Q24" i="12"/>
  <c r="C24" i="12"/>
  <c r="J25" i="12"/>
  <c r="R23" i="12"/>
  <c r="S23" i="12" s="1"/>
  <c r="B24" i="12" s="1"/>
  <c r="I23" i="12"/>
  <c r="H23" i="12"/>
  <c r="D24" i="12"/>
  <c r="K25" i="12"/>
  <c r="M25" i="12"/>
  <c r="F24" i="12"/>
  <c r="P27" i="12"/>
  <c r="F23" i="12"/>
  <c r="L25" i="12"/>
  <c r="E24" i="12"/>
  <c r="V19" i="12"/>
  <c r="AC19" i="12" s="1"/>
  <c r="AA19" i="12"/>
  <c r="AH19" i="12" s="1"/>
  <c r="AB19" i="12"/>
  <c r="W19" i="12"/>
  <c r="AD19" i="12" s="1"/>
  <c r="Y19" i="12"/>
  <c r="AF19" i="12" s="1"/>
  <c r="Z19" i="12"/>
  <c r="AG19" i="12" s="1"/>
  <c r="X19" i="12"/>
  <c r="AE19" i="12" s="1"/>
  <c r="AA20" i="12"/>
  <c r="AH20" i="12" s="1"/>
  <c r="X20" i="12"/>
  <c r="AE20" i="12" s="1"/>
  <c r="Z20" i="12"/>
  <c r="AG20" i="12" s="1"/>
  <c r="Y20" i="12"/>
  <c r="AF20" i="12" s="1"/>
  <c r="V20" i="12"/>
  <c r="AC20" i="12" s="1"/>
  <c r="AB20" i="12"/>
  <c r="AD20" i="12"/>
  <c r="AA20" i="6"/>
  <c r="AH20" i="6" s="1"/>
  <c r="AB20" i="6"/>
  <c r="AI20" i="6" s="1"/>
  <c r="W20" i="6"/>
  <c r="AD20" i="6" s="1"/>
  <c r="Y20" i="6"/>
  <c r="AF20" i="6" s="1"/>
  <c r="X20" i="6"/>
  <c r="AE20" i="6" s="1"/>
  <c r="V20" i="6"/>
  <c r="AC20" i="6" s="1"/>
  <c r="Z20" i="6"/>
  <c r="AG20" i="6" s="1"/>
  <c r="AJ19" i="6"/>
  <c r="J24" i="6"/>
  <c r="Q23" i="6"/>
  <c r="C23" i="6" s="1"/>
  <c r="P25" i="6"/>
  <c r="K27" i="6"/>
  <c r="N26" i="6"/>
  <c r="B22" i="11"/>
  <c r="O25" i="6"/>
  <c r="L25" i="6"/>
  <c r="I21" i="11"/>
  <c r="R22" i="6"/>
  <c r="S22" i="6" s="1"/>
  <c r="B23" i="6" s="1"/>
  <c r="D22" i="6"/>
  <c r="C22" i="11" s="1"/>
  <c r="G22" i="6"/>
  <c r="F22" i="11" s="1"/>
  <c r="I22" i="6"/>
  <c r="H22" i="11" s="1"/>
  <c r="E22" i="6"/>
  <c r="D22" i="11" s="1"/>
  <c r="H22" i="6"/>
  <c r="G22" i="11" s="1"/>
  <c r="F22" i="6"/>
  <c r="E22" i="11" s="1"/>
  <c r="M25" i="6"/>
  <c r="K11" i="8"/>
  <c r="L10" i="8"/>
  <c r="O27" i="12" l="1"/>
  <c r="L26" i="12"/>
  <c r="P28" i="12"/>
  <c r="G25" i="12"/>
  <c r="N26" i="12"/>
  <c r="J26" i="12"/>
  <c r="Q25" i="12"/>
  <c r="E25" i="12" s="1"/>
  <c r="C25" i="12"/>
  <c r="F25" i="12"/>
  <c r="M26" i="12"/>
  <c r="K26" i="12"/>
  <c r="D25" i="12"/>
  <c r="R24" i="12"/>
  <c r="S24" i="12" s="1"/>
  <c r="B25" i="12" s="1"/>
  <c r="I24" i="12"/>
  <c r="H24" i="12"/>
  <c r="T24" i="12" s="1"/>
  <c r="U24" i="12" s="1"/>
  <c r="AI20" i="12"/>
  <c r="X21" i="12"/>
  <c r="AE21" i="12" s="1"/>
  <c r="AB21" i="12"/>
  <c r="W21" i="12"/>
  <c r="AD21" i="12" s="1"/>
  <c r="V21" i="12"/>
  <c r="AC21" i="12" s="1"/>
  <c r="Y21" i="12"/>
  <c r="AF21" i="12" s="1"/>
  <c r="AA21" i="12"/>
  <c r="AH21" i="12" s="1"/>
  <c r="Z21" i="12"/>
  <c r="AG21" i="12" s="1"/>
  <c r="AI19" i="12"/>
  <c r="W21" i="6"/>
  <c r="AD21" i="6" s="1"/>
  <c r="AA21" i="6"/>
  <c r="AH21" i="6" s="1"/>
  <c r="AB21" i="6"/>
  <c r="AI21" i="6" s="1"/>
  <c r="Y21" i="6"/>
  <c r="AF21" i="6" s="1"/>
  <c r="X21" i="6"/>
  <c r="AE21" i="6" s="1"/>
  <c r="V21" i="6"/>
  <c r="AC21" i="6" s="1"/>
  <c r="Z21" i="6"/>
  <c r="AG21" i="6" s="1"/>
  <c r="AJ20" i="6"/>
  <c r="J25" i="6"/>
  <c r="Q24" i="6"/>
  <c r="K28" i="6"/>
  <c r="P26" i="6"/>
  <c r="I22" i="11"/>
  <c r="N27" i="6"/>
  <c r="L26" i="6"/>
  <c r="O26" i="6"/>
  <c r="B23" i="11"/>
  <c r="M26" i="6"/>
  <c r="R23" i="6"/>
  <c r="S23" i="6" s="1"/>
  <c r="B24" i="6" s="1"/>
  <c r="D23" i="6"/>
  <c r="C23" i="11" s="1"/>
  <c r="G23" i="6"/>
  <c r="F23" i="11" s="1"/>
  <c r="E23" i="6"/>
  <c r="D23" i="11" s="1"/>
  <c r="H23" i="6"/>
  <c r="G23" i="11" s="1"/>
  <c r="F23" i="6"/>
  <c r="E23" i="11" s="1"/>
  <c r="I23" i="6"/>
  <c r="H23" i="11" s="1"/>
  <c r="K12" i="8"/>
  <c r="L11" i="8"/>
  <c r="L27" i="12" l="1"/>
  <c r="T25" i="12"/>
  <c r="U25" i="12" s="1"/>
  <c r="K27" i="12"/>
  <c r="P29" i="12"/>
  <c r="R25" i="12"/>
  <c r="S25" i="12"/>
  <c r="B26" i="12" s="1"/>
  <c r="I25" i="12"/>
  <c r="H25" i="12"/>
  <c r="M27" i="12"/>
  <c r="Q26" i="12"/>
  <c r="C26" i="12"/>
  <c r="J27" i="12"/>
  <c r="O28" i="12"/>
  <c r="N27" i="12"/>
  <c r="AI21" i="12"/>
  <c r="W22" i="6"/>
  <c r="AD22" i="6" s="1"/>
  <c r="Z22" i="6"/>
  <c r="AG22" i="6" s="1"/>
  <c r="AA22" i="6"/>
  <c r="AH22" i="6" s="1"/>
  <c r="AB22" i="6"/>
  <c r="AI22" i="6" s="1"/>
  <c r="Y22" i="6"/>
  <c r="AF22" i="6" s="1"/>
  <c r="X22" i="6"/>
  <c r="AE22" i="6" s="1"/>
  <c r="V22" i="6"/>
  <c r="AC22" i="6" s="1"/>
  <c r="AJ21" i="6"/>
  <c r="I23" i="11"/>
  <c r="O27" i="6"/>
  <c r="P27" i="6"/>
  <c r="L27" i="6"/>
  <c r="R24" i="6"/>
  <c r="S24" i="6" s="1"/>
  <c r="B25" i="6" s="1"/>
  <c r="D24" i="6"/>
  <c r="C24" i="11" s="1"/>
  <c r="G24" i="6"/>
  <c r="F24" i="11" s="1"/>
  <c r="F24" i="6"/>
  <c r="E24" i="11" s="1"/>
  <c r="H24" i="6"/>
  <c r="G24" i="11" s="1"/>
  <c r="I24" i="6"/>
  <c r="H24" i="11" s="1"/>
  <c r="E24" i="6"/>
  <c r="D24" i="11" s="1"/>
  <c r="N28" i="6"/>
  <c r="C24" i="6"/>
  <c r="K29" i="6"/>
  <c r="M27" i="6"/>
  <c r="J26" i="6"/>
  <c r="Q25" i="6"/>
  <c r="C25" i="6" s="1"/>
  <c r="K13" i="8"/>
  <c r="L12" i="8"/>
  <c r="R26" i="12" l="1"/>
  <c r="S26" i="12"/>
  <c r="B27" i="12" s="1"/>
  <c r="I26" i="12"/>
  <c r="H26" i="12"/>
  <c r="G26" i="12"/>
  <c r="J28" i="12"/>
  <c r="C27" i="12"/>
  <c r="Q27" i="12"/>
  <c r="F26" i="12"/>
  <c r="K28" i="12"/>
  <c r="D27" i="12"/>
  <c r="O29" i="12"/>
  <c r="E26" i="12"/>
  <c r="P30" i="12"/>
  <c r="D26" i="12"/>
  <c r="T26" i="12" s="1"/>
  <c r="U26" i="12" s="1"/>
  <c r="F27" i="12"/>
  <c r="M28" i="12"/>
  <c r="G27" i="12"/>
  <c r="N28" i="12"/>
  <c r="E27" i="12"/>
  <c r="L28" i="12"/>
  <c r="Z23" i="12"/>
  <c r="AG23" i="12" s="1"/>
  <c r="Y23" i="12"/>
  <c r="AF23" i="12" s="1"/>
  <c r="X23" i="12"/>
  <c r="AE23" i="12" s="1"/>
  <c r="W23" i="12"/>
  <c r="AD23" i="12" s="1"/>
  <c r="AA23" i="12"/>
  <c r="AH23" i="12" s="1"/>
  <c r="V23" i="12"/>
  <c r="AC23" i="12" s="1"/>
  <c r="AB23" i="12"/>
  <c r="AB22" i="12"/>
  <c r="Z22" i="12"/>
  <c r="AG22" i="12" s="1"/>
  <c r="AA22" i="12"/>
  <c r="AH22" i="12" s="1"/>
  <c r="V22" i="12"/>
  <c r="AC22" i="12" s="1"/>
  <c r="Y22" i="12"/>
  <c r="AF22" i="12" s="1"/>
  <c r="X22" i="12"/>
  <c r="AE22" i="12" s="1"/>
  <c r="W22" i="12"/>
  <c r="AD22" i="12" s="1"/>
  <c r="W23" i="6"/>
  <c r="AD23" i="6" s="1"/>
  <c r="AB23" i="6"/>
  <c r="AI23" i="6" s="1"/>
  <c r="Y23" i="6"/>
  <c r="AF23" i="6" s="1"/>
  <c r="AA23" i="6"/>
  <c r="AH23" i="6" s="1"/>
  <c r="X23" i="6"/>
  <c r="AE23" i="6" s="1"/>
  <c r="V23" i="6"/>
  <c r="AC23" i="6" s="1"/>
  <c r="Z23" i="6"/>
  <c r="AG23" i="6" s="1"/>
  <c r="AJ22" i="6"/>
  <c r="B25" i="11"/>
  <c r="N29" i="6"/>
  <c r="R25" i="6"/>
  <c r="S25" i="6" s="1"/>
  <c r="B26" i="6" s="1"/>
  <c r="D25" i="6"/>
  <c r="C25" i="11" s="1"/>
  <c r="G25" i="6"/>
  <c r="F25" i="11" s="1"/>
  <c r="E25" i="6"/>
  <c r="D25" i="11" s="1"/>
  <c r="H25" i="6"/>
  <c r="G25" i="11" s="1"/>
  <c r="F25" i="6"/>
  <c r="E25" i="11" s="1"/>
  <c r="I25" i="6"/>
  <c r="H25" i="11" s="1"/>
  <c r="P28" i="6"/>
  <c r="K30" i="6"/>
  <c r="B24" i="11"/>
  <c r="I24" i="11" s="1"/>
  <c r="O28" i="6"/>
  <c r="J27" i="6"/>
  <c r="Q26" i="6"/>
  <c r="L28" i="6"/>
  <c r="M28" i="6"/>
  <c r="K14" i="8"/>
  <c r="L13" i="8"/>
  <c r="Q28" i="12" l="1"/>
  <c r="C28" i="12"/>
  <c r="J29" i="12"/>
  <c r="N29" i="12"/>
  <c r="G28" i="12"/>
  <c r="L29" i="12"/>
  <c r="E28" i="12"/>
  <c r="P31" i="12"/>
  <c r="T27" i="12"/>
  <c r="U27" i="12" s="1"/>
  <c r="O30" i="12"/>
  <c r="M29" i="12"/>
  <c r="F28" i="12"/>
  <c r="D28" i="12"/>
  <c r="K29" i="12"/>
  <c r="R27" i="12"/>
  <c r="S27" i="12" s="1"/>
  <c r="B28" i="12" s="1"/>
  <c r="I27" i="12"/>
  <c r="H27" i="12"/>
  <c r="AI23" i="12"/>
  <c r="AI22" i="12"/>
  <c r="W24" i="6"/>
  <c r="AD24" i="6" s="1"/>
  <c r="Z24" i="6"/>
  <c r="AG24" i="6" s="1"/>
  <c r="AB24" i="6"/>
  <c r="AI24" i="6" s="1"/>
  <c r="Y24" i="6"/>
  <c r="AF24" i="6" s="1"/>
  <c r="AA24" i="6"/>
  <c r="AH24" i="6" s="1"/>
  <c r="X24" i="6"/>
  <c r="AE24" i="6" s="1"/>
  <c r="V24" i="6"/>
  <c r="AC24" i="6" s="1"/>
  <c r="AJ23" i="6"/>
  <c r="L29" i="6"/>
  <c r="R26" i="6"/>
  <c r="S26" i="6" s="1"/>
  <c r="B27" i="6" s="1"/>
  <c r="D26" i="6"/>
  <c r="C26" i="11" s="1"/>
  <c r="G26" i="6"/>
  <c r="F26" i="11" s="1"/>
  <c r="I26" i="6"/>
  <c r="H26" i="11" s="1"/>
  <c r="H26" i="6"/>
  <c r="G26" i="11" s="1"/>
  <c r="F26" i="6"/>
  <c r="E26" i="11" s="1"/>
  <c r="E26" i="6"/>
  <c r="D26" i="11" s="1"/>
  <c r="K31" i="6"/>
  <c r="O29" i="6"/>
  <c r="N30" i="6"/>
  <c r="M29" i="6"/>
  <c r="C26" i="6"/>
  <c r="J28" i="6"/>
  <c r="Q27" i="6"/>
  <c r="C27" i="6" s="1"/>
  <c r="P29" i="6"/>
  <c r="I25" i="11"/>
  <c r="K15" i="8"/>
  <c r="L14" i="8"/>
  <c r="K30" i="12" l="1"/>
  <c r="M30" i="12"/>
  <c r="G29" i="12"/>
  <c r="N30" i="12"/>
  <c r="E29" i="12"/>
  <c r="L30" i="12"/>
  <c r="O31" i="12"/>
  <c r="J30" i="12"/>
  <c r="Q29" i="12"/>
  <c r="C29" i="12"/>
  <c r="T28" i="12"/>
  <c r="U28" i="12" s="1"/>
  <c r="P32" i="12"/>
  <c r="R28" i="12"/>
  <c r="S28" i="12"/>
  <c r="B29" i="12" s="1"/>
  <c r="I28" i="12"/>
  <c r="H28" i="12"/>
  <c r="W24" i="12"/>
  <c r="AD24" i="12" s="1"/>
  <c r="V24" i="12"/>
  <c r="AC24" i="12" s="1"/>
  <c r="AB24" i="12"/>
  <c r="X24" i="12"/>
  <c r="AE24" i="12" s="1"/>
  <c r="Y24" i="12"/>
  <c r="AF24" i="12" s="1"/>
  <c r="AA24" i="12"/>
  <c r="AH24" i="12" s="1"/>
  <c r="Z24" i="12"/>
  <c r="AG24" i="12" s="1"/>
  <c r="Z25" i="6"/>
  <c r="AG25" i="6" s="1"/>
  <c r="V25" i="6"/>
  <c r="AC25" i="6" s="1"/>
  <c r="W25" i="6"/>
  <c r="AD25" i="6" s="1"/>
  <c r="AA25" i="6"/>
  <c r="AH25" i="6" s="1"/>
  <c r="Y25" i="6"/>
  <c r="AF25" i="6" s="1"/>
  <c r="X25" i="6"/>
  <c r="AE25" i="6" s="1"/>
  <c r="AB25" i="6"/>
  <c r="AI25" i="6" s="1"/>
  <c r="AJ24" i="6"/>
  <c r="P30" i="6"/>
  <c r="N31" i="6"/>
  <c r="B27" i="11"/>
  <c r="J29" i="6"/>
  <c r="Q28" i="6"/>
  <c r="O30" i="6"/>
  <c r="B26" i="11"/>
  <c r="I26" i="11" s="1"/>
  <c r="R27" i="6"/>
  <c r="S27" i="6" s="1"/>
  <c r="B28" i="6" s="1"/>
  <c r="D27" i="6"/>
  <c r="C27" i="11" s="1"/>
  <c r="G27" i="6"/>
  <c r="F27" i="11" s="1"/>
  <c r="E27" i="6"/>
  <c r="D27" i="11" s="1"/>
  <c r="H27" i="6"/>
  <c r="G27" i="11" s="1"/>
  <c r="F27" i="6"/>
  <c r="E27" i="11" s="1"/>
  <c r="I27" i="6"/>
  <c r="H27" i="11" s="1"/>
  <c r="K32" i="6"/>
  <c r="M30" i="6"/>
  <c r="L30" i="6"/>
  <c r="K16" i="8"/>
  <c r="L15" i="8"/>
  <c r="L31" i="12" l="1"/>
  <c r="R29" i="12"/>
  <c r="S29" i="12"/>
  <c r="B30" i="12" s="1"/>
  <c r="I29" i="12"/>
  <c r="H29" i="12"/>
  <c r="M31" i="12"/>
  <c r="Q30" i="12"/>
  <c r="C30" i="12"/>
  <c r="J31" i="12"/>
  <c r="F29" i="12"/>
  <c r="T29" i="12" s="1"/>
  <c r="U29" i="12" s="1"/>
  <c r="P33" i="12"/>
  <c r="N31" i="12"/>
  <c r="D29" i="12"/>
  <c r="O32" i="12"/>
  <c r="K31" i="12"/>
  <c r="D30" i="12"/>
  <c r="Y25" i="12"/>
  <c r="AF25" i="12" s="1"/>
  <c r="X25" i="12"/>
  <c r="AE25" i="12" s="1"/>
  <c r="AA25" i="12"/>
  <c r="AH25" i="12" s="1"/>
  <c r="Z25" i="12"/>
  <c r="AG25" i="12" s="1"/>
  <c r="AB25" i="12"/>
  <c r="V25" i="12"/>
  <c r="AC25" i="12" s="1"/>
  <c r="W25" i="12"/>
  <c r="AD25" i="12" s="1"/>
  <c r="AI24" i="12"/>
  <c r="W26" i="6"/>
  <c r="AD26" i="6" s="1"/>
  <c r="AA26" i="6"/>
  <c r="AH26" i="6" s="1"/>
  <c r="Y26" i="6"/>
  <c r="AF26" i="6" s="1"/>
  <c r="X26" i="6"/>
  <c r="AE26" i="6" s="1"/>
  <c r="Z26" i="6"/>
  <c r="AG26" i="6" s="1"/>
  <c r="V26" i="6"/>
  <c r="AC26" i="6" s="1"/>
  <c r="AB26" i="6"/>
  <c r="AI26" i="6" s="1"/>
  <c r="AJ25" i="6"/>
  <c r="J30" i="6"/>
  <c r="Q29" i="6"/>
  <c r="C29" i="6" s="1"/>
  <c r="O31" i="6"/>
  <c r="R28" i="6"/>
  <c r="S28" i="6" s="1"/>
  <c r="B29" i="6" s="1"/>
  <c r="D28" i="6"/>
  <c r="C28" i="11" s="1"/>
  <c r="G28" i="6"/>
  <c r="F28" i="11" s="1"/>
  <c r="I28" i="6"/>
  <c r="H28" i="11" s="1"/>
  <c r="F28" i="6"/>
  <c r="E28" i="11" s="1"/>
  <c r="H28" i="6"/>
  <c r="G28" i="11" s="1"/>
  <c r="E28" i="6"/>
  <c r="D28" i="11" s="1"/>
  <c r="M31" i="6"/>
  <c r="I27" i="11"/>
  <c r="K33" i="6"/>
  <c r="N32" i="6"/>
  <c r="L31" i="6"/>
  <c r="C28" i="6"/>
  <c r="P31" i="6"/>
  <c r="K17" i="8"/>
  <c r="L16" i="8"/>
  <c r="N32" i="12" l="1"/>
  <c r="F31" i="12"/>
  <c r="M32" i="12"/>
  <c r="O33" i="12"/>
  <c r="J32" i="12"/>
  <c r="C31" i="12"/>
  <c r="Q31" i="12"/>
  <c r="P34" i="12"/>
  <c r="R30" i="12"/>
  <c r="S30" i="12"/>
  <c r="B31" i="12" s="1"/>
  <c r="I30" i="12"/>
  <c r="H30" i="12"/>
  <c r="E30" i="12"/>
  <c r="T30" i="12" s="1"/>
  <c r="U30" i="12" s="1"/>
  <c r="K32" i="12"/>
  <c r="D31" i="12"/>
  <c r="G30" i="12"/>
  <c r="F30" i="12"/>
  <c r="E31" i="12"/>
  <c r="L32" i="12"/>
  <c r="AA26" i="12"/>
  <c r="AH26" i="12" s="1"/>
  <c r="Y26" i="12"/>
  <c r="AF26" i="12" s="1"/>
  <c r="X26" i="12"/>
  <c r="AE26" i="12" s="1"/>
  <c r="V26" i="12"/>
  <c r="AC26" i="12" s="1"/>
  <c r="W26" i="12"/>
  <c r="AD26" i="12" s="1"/>
  <c r="AB26" i="12"/>
  <c r="Z26" i="12"/>
  <c r="AG26" i="12" s="1"/>
  <c r="AI25" i="12"/>
  <c r="W27" i="6"/>
  <c r="AD27" i="6" s="1"/>
  <c r="AB27" i="6"/>
  <c r="AI27" i="6" s="1"/>
  <c r="AA27" i="6"/>
  <c r="AH27" i="6" s="1"/>
  <c r="Y27" i="6"/>
  <c r="AF27" i="6" s="1"/>
  <c r="X27" i="6"/>
  <c r="AE27" i="6" s="1"/>
  <c r="Z27" i="6"/>
  <c r="AG27" i="6" s="1"/>
  <c r="V27" i="6"/>
  <c r="AC27" i="6" s="1"/>
  <c r="AJ26" i="6"/>
  <c r="M32" i="6"/>
  <c r="O32" i="6"/>
  <c r="B29" i="11"/>
  <c r="N33" i="6"/>
  <c r="R29" i="6"/>
  <c r="S29" i="6" s="1"/>
  <c r="B30" i="6" s="1"/>
  <c r="D29" i="6"/>
  <c r="C29" i="11" s="1"/>
  <c r="G29" i="6"/>
  <c r="F29" i="11" s="1"/>
  <c r="E29" i="6"/>
  <c r="D29" i="11" s="1"/>
  <c r="H29" i="6"/>
  <c r="G29" i="11" s="1"/>
  <c r="I29" i="6"/>
  <c r="H29" i="11" s="1"/>
  <c r="F29" i="6"/>
  <c r="E29" i="11" s="1"/>
  <c r="P32" i="6"/>
  <c r="K34" i="6"/>
  <c r="B28" i="11"/>
  <c r="I28" i="11" s="1"/>
  <c r="L32" i="6"/>
  <c r="J31" i="6"/>
  <c r="Q30" i="6"/>
  <c r="K18" i="8"/>
  <c r="L17" i="8"/>
  <c r="L33" i="12" l="1"/>
  <c r="Q32" i="12"/>
  <c r="E32" i="12" s="1"/>
  <c r="C32" i="12"/>
  <c r="J33" i="12"/>
  <c r="M33" i="12"/>
  <c r="F32" i="12"/>
  <c r="AI26" i="12"/>
  <c r="P35" i="12"/>
  <c r="O34" i="12"/>
  <c r="N33" i="12"/>
  <c r="G32" i="12"/>
  <c r="D32" i="12"/>
  <c r="K33" i="12"/>
  <c r="R31" i="12"/>
  <c r="S31" i="12" s="1"/>
  <c r="B32" i="12" s="1"/>
  <c r="I31" i="12"/>
  <c r="H31" i="12"/>
  <c r="G31" i="12"/>
  <c r="T31" i="12" s="1"/>
  <c r="U31" i="12" s="1"/>
  <c r="Y27" i="12"/>
  <c r="AF27" i="12" s="1"/>
  <c r="X27" i="12"/>
  <c r="AE27" i="12" s="1"/>
  <c r="Z27" i="12"/>
  <c r="AG27" i="12" s="1"/>
  <c r="AB27" i="12"/>
  <c r="AA27" i="12"/>
  <c r="AH27" i="12" s="1"/>
  <c r="W27" i="12"/>
  <c r="AD27" i="12" s="1"/>
  <c r="V27" i="12"/>
  <c r="AC27" i="12" s="1"/>
  <c r="W28" i="6"/>
  <c r="AD28" i="6" s="1"/>
  <c r="AA28" i="6"/>
  <c r="AH28" i="6" s="1"/>
  <c r="AB28" i="6"/>
  <c r="AI28" i="6" s="1"/>
  <c r="Y28" i="6"/>
  <c r="AF28" i="6" s="1"/>
  <c r="X28" i="6"/>
  <c r="AE28" i="6" s="1"/>
  <c r="Z28" i="6"/>
  <c r="AG28" i="6" s="1"/>
  <c r="V28" i="6"/>
  <c r="AC28" i="6" s="1"/>
  <c r="AJ27" i="6"/>
  <c r="L33" i="6"/>
  <c r="R30" i="6"/>
  <c r="S30" i="6" s="1"/>
  <c r="B31" i="6" s="1"/>
  <c r="D30" i="6"/>
  <c r="C30" i="11" s="1"/>
  <c r="G30" i="6"/>
  <c r="F30" i="11" s="1"/>
  <c r="I30" i="6"/>
  <c r="H30" i="11" s="1"/>
  <c r="H30" i="6"/>
  <c r="G30" i="11" s="1"/>
  <c r="F30" i="6"/>
  <c r="E30" i="11" s="1"/>
  <c r="E30" i="6"/>
  <c r="D30" i="11" s="1"/>
  <c r="P33" i="6"/>
  <c r="J32" i="6"/>
  <c r="Q31" i="6"/>
  <c r="C31" i="6" s="1"/>
  <c r="N34" i="6"/>
  <c r="I29" i="11"/>
  <c r="O33" i="6"/>
  <c r="K35" i="6"/>
  <c r="C30" i="6"/>
  <c r="M33" i="6"/>
  <c r="K19" i="8"/>
  <c r="L18" i="8"/>
  <c r="M34" i="12" l="1"/>
  <c r="N34" i="12"/>
  <c r="J34" i="12"/>
  <c r="Q33" i="12"/>
  <c r="C33" i="12"/>
  <c r="P36" i="12"/>
  <c r="R32" i="12"/>
  <c r="S32" i="12"/>
  <c r="B33" i="12" s="1"/>
  <c r="I32" i="12"/>
  <c r="H32" i="12"/>
  <c r="T32" i="12" s="1"/>
  <c r="U32" i="12" s="1"/>
  <c r="E33" i="12"/>
  <c r="L34" i="12"/>
  <c r="O35" i="12"/>
  <c r="K34" i="12"/>
  <c r="AI27" i="12"/>
  <c r="V28" i="12"/>
  <c r="AC28" i="12" s="1"/>
  <c r="AB28" i="12"/>
  <c r="AA28" i="12"/>
  <c r="AH28" i="12" s="1"/>
  <c r="X28" i="12"/>
  <c r="AE28" i="12" s="1"/>
  <c r="Z28" i="12"/>
  <c r="AG28" i="12" s="1"/>
  <c r="W28" i="12"/>
  <c r="AD28" i="12" s="1"/>
  <c r="Y28" i="12"/>
  <c r="AF28" i="12" s="1"/>
  <c r="AJ28" i="6"/>
  <c r="W29" i="6"/>
  <c r="AD29" i="6" s="1"/>
  <c r="AA29" i="6"/>
  <c r="AH29" i="6" s="1"/>
  <c r="AB29" i="6"/>
  <c r="AI29" i="6" s="1"/>
  <c r="X29" i="6"/>
  <c r="AE29" i="6" s="1"/>
  <c r="Z29" i="6"/>
  <c r="AG29" i="6" s="1"/>
  <c r="V29" i="6"/>
  <c r="AC29" i="6" s="1"/>
  <c r="Y29" i="6"/>
  <c r="AF29" i="6" s="1"/>
  <c r="N35" i="6"/>
  <c r="R31" i="6"/>
  <c r="S31" i="6" s="1"/>
  <c r="B32" i="6" s="1"/>
  <c r="D31" i="6"/>
  <c r="C31" i="11" s="1"/>
  <c r="G31" i="6"/>
  <c r="F31" i="11" s="1"/>
  <c r="I31" i="6"/>
  <c r="H31" i="11" s="1"/>
  <c r="F31" i="6"/>
  <c r="E31" i="11" s="1"/>
  <c r="H31" i="6"/>
  <c r="G31" i="11" s="1"/>
  <c r="E31" i="6"/>
  <c r="D31" i="11" s="1"/>
  <c r="K36" i="6"/>
  <c r="J33" i="6"/>
  <c r="Q32" i="6"/>
  <c r="C32" i="6" s="1"/>
  <c r="O34" i="6"/>
  <c r="P34" i="6"/>
  <c r="M34" i="6"/>
  <c r="B30" i="11"/>
  <c r="I30" i="11" s="1"/>
  <c r="B31" i="11"/>
  <c r="L34" i="6"/>
  <c r="K20" i="8"/>
  <c r="L19" i="8"/>
  <c r="R33" i="12" l="1"/>
  <c r="S33" i="12"/>
  <c r="B34" i="12" s="1"/>
  <c r="I33" i="12"/>
  <c r="H33" i="12"/>
  <c r="L35" i="12"/>
  <c r="E34" i="12"/>
  <c r="P37" i="12"/>
  <c r="G33" i="12"/>
  <c r="Q34" i="12"/>
  <c r="C34" i="12"/>
  <c r="J35" i="12"/>
  <c r="M35" i="12"/>
  <c r="F34" i="12"/>
  <c r="D33" i="12"/>
  <c r="T33" i="12" s="1"/>
  <c r="U33" i="12" s="1"/>
  <c r="N35" i="12"/>
  <c r="K35" i="12"/>
  <c r="D34" i="12"/>
  <c r="O36" i="12"/>
  <c r="F33" i="12"/>
  <c r="AI28" i="12"/>
  <c r="AA29" i="12"/>
  <c r="AH29" i="12" s="1"/>
  <c r="Z29" i="12"/>
  <c r="AG29" i="12" s="1"/>
  <c r="W29" i="12"/>
  <c r="AD29" i="12" s="1"/>
  <c r="X29" i="12"/>
  <c r="AE29" i="12" s="1"/>
  <c r="Y29" i="12"/>
  <c r="AF29" i="12" s="1"/>
  <c r="AB29" i="12"/>
  <c r="V29" i="12"/>
  <c r="AC29" i="12" s="1"/>
  <c r="W30" i="6"/>
  <c r="AD30" i="6" s="1"/>
  <c r="AA30" i="6"/>
  <c r="AH30" i="6" s="1"/>
  <c r="AB30" i="6"/>
  <c r="AI30" i="6" s="1"/>
  <c r="X30" i="6"/>
  <c r="AE30" i="6" s="1"/>
  <c r="Z30" i="6"/>
  <c r="AG30" i="6" s="1"/>
  <c r="V30" i="6"/>
  <c r="AC30" i="6" s="1"/>
  <c r="Y30" i="6"/>
  <c r="AF30" i="6" s="1"/>
  <c r="AJ29" i="6"/>
  <c r="L35" i="6"/>
  <c r="I31" i="11"/>
  <c r="O35" i="6"/>
  <c r="B32" i="11"/>
  <c r="J34" i="6"/>
  <c r="Q33" i="6"/>
  <c r="C33" i="6" s="1"/>
  <c r="K37" i="6"/>
  <c r="R32" i="6"/>
  <c r="S32" i="6" s="1"/>
  <c r="B33" i="6" s="1"/>
  <c r="D32" i="6"/>
  <c r="C32" i="11" s="1"/>
  <c r="G32" i="6"/>
  <c r="F32" i="11" s="1"/>
  <c r="F32" i="6"/>
  <c r="E32" i="11" s="1"/>
  <c r="E32" i="6"/>
  <c r="D32" i="11" s="1"/>
  <c r="I32" i="6"/>
  <c r="H32" i="11" s="1"/>
  <c r="H32" i="6"/>
  <c r="G32" i="11" s="1"/>
  <c r="M35" i="6"/>
  <c r="P35" i="6"/>
  <c r="N36" i="6"/>
  <c r="K21" i="8"/>
  <c r="L20" i="8"/>
  <c r="P38" i="12" l="1"/>
  <c r="F35" i="12"/>
  <c r="M36" i="12"/>
  <c r="E35" i="12"/>
  <c r="L36" i="12"/>
  <c r="J36" i="12"/>
  <c r="C35" i="12"/>
  <c r="Q35" i="12"/>
  <c r="O37" i="12"/>
  <c r="T34" i="12"/>
  <c r="U34" i="12" s="1"/>
  <c r="K36" i="12"/>
  <c r="D35" i="12"/>
  <c r="R34" i="12"/>
  <c r="S34" i="12" s="1"/>
  <c r="B35" i="12" s="1"/>
  <c r="I34" i="12"/>
  <c r="H34" i="12"/>
  <c r="G34" i="12"/>
  <c r="G35" i="12"/>
  <c r="N36" i="12"/>
  <c r="X30" i="12"/>
  <c r="AE30" i="12" s="1"/>
  <c r="W30" i="12"/>
  <c r="AD30" i="12" s="1"/>
  <c r="Y30" i="12"/>
  <c r="AF30" i="12" s="1"/>
  <c r="AA30" i="12"/>
  <c r="AH30" i="12" s="1"/>
  <c r="Z30" i="12"/>
  <c r="AG30" i="12" s="1"/>
  <c r="V30" i="12"/>
  <c r="AC30" i="12" s="1"/>
  <c r="AB30" i="12"/>
  <c r="AB31" i="12"/>
  <c r="AA31" i="12"/>
  <c r="AH31" i="12" s="1"/>
  <c r="V31" i="12"/>
  <c r="AC31" i="12" s="1"/>
  <c r="Z31" i="12"/>
  <c r="AG31" i="12" s="1"/>
  <c r="W31" i="12"/>
  <c r="AD31" i="12" s="1"/>
  <c r="Y31" i="12"/>
  <c r="AF31" i="12" s="1"/>
  <c r="X31" i="12"/>
  <c r="AE31" i="12" s="1"/>
  <c r="AI29" i="12"/>
  <c r="AJ30" i="6"/>
  <c r="W31" i="6"/>
  <c r="AD31" i="6" s="1"/>
  <c r="AB31" i="6"/>
  <c r="AI31" i="6" s="1"/>
  <c r="AA31" i="6"/>
  <c r="AH31" i="6" s="1"/>
  <c r="X31" i="6"/>
  <c r="AE31" i="6" s="1"/>
  <c r="Z31" i="6"/>
  <c r="AG31" i="6" s="1"/>
  <c r="V31" i="6"/>
  <c r="AC31" i="6" s="1"/>
  <c r="Y31" i="6"/>
  <c r="AF31" i="6" s="1"/>
  <c r="J35" i="6"/>
  <c r="Q34" i="6"/>
  <c r="C34" i="6"/>
  <c r="N37" i="6"/>
  <c r="P36" i="6"/>
  <c r="O36" i="6"/>
  <c r="M36" i="6"/>
  <c r="K38" i="6"/>
  <c r="B33" i="11"/>
  <c r="I32" i="11"/>
  <c r="R33" i="6"/>
  <c r="S33" i="6" s="1"/>
  <c r="B34" i="6" s="1"/>
  <c r="D33" i="6"/>
  <c r="C33" i="11" s="1"/>
  <c r="G33" i="6"/>
  <c r="F33" i="11" s="1"/>
  <c r="E33" i="6"/>
  <c r="D33" i="11" s="1"/>
  <c r="F33" i="6"/>
  <c r="E33" i="11" s="1"/>
  <c r="I33" i="6"/>
  <c r="H33" i="11" s="1"/>
  <c r="H33" i="6"/>
  <c r="G33" i="11" s="1"/>
  <c r="L36" i="6"/>
  <c r="K22" i="8"/>
  <c r="L21" i="8"/>
  <c r="Q36" i="12" l="1"/>
  <c r="C36" i="12"/>
  <c r="J37" i="12"/>
  <c r="L37" i="12"/>
  <c r="E36" i="12"/>
  <c r="T35" i="12"/>
  <c r="U35" i="12" s="1"/>
  <c r="D36" i="12"/>
  <c r="K37" i="12"/>
  <c r="N37" i="12"/>
  <c r="G36" i="12"/>
  <c r="AI30" i="12"/>
  <c r="M37" i="12"/>
  <c r="F36" i="12"/>
  <c r="O38" i="12"/>
  <c r="S35" i="12"/>
  <c r="B36" i="12" s="1"/>
  <c r="R35" i="12"/>
  <c r="I35" i="12"/>
  <c r="H35" i="12"/>
  <c r="P39" i="12"/>
  <c r="AI31" i="12"/>
  <c r="W32" i="6"/>
  <c r="AD32" i="6" s="1"/>
  <c r="AB32" i="6"/>
  <c r="AI32" i="6" s="1"/>
  <c r="Z32" i="6"/>
  <c r="AG32" i="6" s="1"/>
  <c r="AA32" i="6"/>
  <c r="AH32" i="6" s="1"/>
  <c r="X32" i="6"/>
  <c r="AE32" i="6" s="1"/>
  <c r="V32" i="6"/>
  <c r="AC32" i="6" s="1"/>
  <c r="Y32" i="6"/>
  <c r="AF32" i="6" s="1"/>
  <c r="AJ31" i="6"/>
  <c r="I33" i="11"/>
  <c r="P37" i="6"/>
  <c r="N38" i="6"/>
  <c r="M37" i="6"/>
  <c r="B34" i="11"/>
  <c r="L37" i="6"/>
  <c r="R34" i="6"/>
  <c r="S34" i="6" s="1"/>
  <c r="B35" i="6" s="1"/>
  <c r="D34" i="6"/>
  <c r="C34" i="11" s="1"/>
  <c r="G34" i="6"/>
  <c r="F34" i="11" s="1"/>
  <c r="F34" i="6"/>
  <c r="E34" i="11" s="1"/>
  <c r="E34" i="6"/>
  <c r="D34" i="11" s="1"/>
  <c r="H34" i="6"/>
  <c r="G34" i="11" s="1"/>
  <c r="I34" i="6"/>
  <c r="H34" i="11" s="1"/>
  <c r="K39" i="6"/>
  <c r="O37" i="6"/>
  <c r="J36" i="6"/>
  <c r="Q35" i="6"/>
  <c r="K23" i="8"/>
  <c r="L22" i="8"/>
  <c r="O39" i="12" l="1"/>
  <c r="K38" i="12"/>
  <c r="J38" i="12"/>
  <c r="Q37" i="12"/>
  <c r="C37" i="12"/>
  <c r="P40" i="12"/>
  <c r="M38" i="12"/>
  <c r="L38" i="12"/>
  <c r="G37" i="12"/>
  <c r="N38" i="12"/>
  <c r="R36" i="12"/>
  <c r="S36" i="12"/>
  <c r="B37" i="12" s="1"/>
  <c r="I36" i="12"/>
  <c r="H36" i="12"/>
  <c r="T36" i="12" s="1"/>
  <c r="U36" i="12" s="1"/>
  <c r="Z32" i="12"/>
  <c r="AG32" i="12" s="1"/>
  <c r="Y32" i="12"/>
  <c r="AF32" i="12" s="1"/>
  <c r="X32" i="12"/>
  <c r="AE32" i="12" s="1"/>
  <c r="AA32" i="12"/>
  <c r="AH32" i="12" s="1"/>
  <c r="W32" i="12"/>
  <c r="AD32" i="12" s="1"/>
  <c r="V32" i="12"/>
  <c r="AC32" i="12" s="1"/>
  <c r="AB32" i="12"/>
  <c r="W33" i="6"/>
  <c r="AD33" i="6" s="1"/>
  <c r="Z33" i="6"/>
  <c r="AG33" i="6" s="1"/>
  <c r="V33" i="6"/>
  <c r="AC33" i="6" s="1"/>
  <c r="AB33" i="6"/>
  <c r="AI33" i="6" s="1"/>
  <c r="Y33" i="6"/>
  <c r="AF33" i="6" s="1"/>
  <c r="X33" i="6"/>
  <c r="AE33" i="6" s="1"/>
  <c r="AA33" i="6"/>
  <c r="AH33" i="6" s="1"/>
  <c r="AJ32" i="6"/>
  <c r="J37" i="6"/>
  <c r="Q36" i="6"/>
  <c r="I34" i="11"/>
  <c r="M38" i="6"/>
  <c r="R35" i="6"/>
  <c r="S35" i="6" s="1"/>
  <c r="B36" i="6" s="1"/>
  <c r="D35" i="6"/>
  <c r="C35" i="11" s="1"/>
  <c r="G35" i="6"/>
  <c r="F35" i="11" s="1"/>
  <c r="H35" i="6"/>
  <c r="G35" i="11" s="1"/>
  <c r="E35" i="6"/>
  <c r="D35" i="11" s="1"/>
  <c r="F35" i="6"/>
  <c r="E35" i="11" s="1"/>
  <c r="I35" i="6"/>
  <c r="H35" i="11" s="1"/>
  <c r="O38" i="6"/>
  <c r="K40" i="6"/>
  <c r="N39" i="6"/>
  <c r="C35" i="6"/>
  <c r="L38" i="6"/>
  <c r="P38" i="6"/>
  <c r="K24" i="8"/>
  <c r="L23" i="8"/>
  <c r="N39" i="12" l="1"/>
  <c r="G38" i="12"/>
  <c r="R37" i="12"/>
  <c r="S37" i="12"/>
  <c r="B38" i="12" s="1"/>
  <c r="I37" i="12"/>
  <c r="H37" i="12"/>
  <c r="P41" i="12"/>
  <c r="Q38" i="12"/>
  <c r="C38" i="12"/>
  <c r="J39" i="12"/>
  <c r="L39" i="12"/>
  <c r="E38" i="12"/>
  <c r="E37" i="12"/>
  <c r="T37" i="12" s="1"/>
  <c r="U37" i="12" s="1"/>
  <c r="D37" i="12"/>
  <c r="M39" i="12"/>
  <c r="F38" i="12"/>
  <c r="K39" i="12"/>
  <c r="D38" i="12"/>
  <c r="F37" i="12"/>
  <c r="O40" i="12"/>
  <c r="AI32" i="12"/>
  <c r="W33" i="12"/>
  <c r="AD33" i="12" s="1"/>
  <c r="V33" i="12"/>
  <c r="AC33" i="12" s="1"/>
  <c r="AB33" i="12"/>
  <c r="X33" i="12"/>
  <c r="AE33" i="12" s="1"/>
  <c r="Y33" i="12"/>
  <c r="AF33" i="12" s="1"/>
  <c r="AA33" i="12"/>
  <c r="AH33" i="12" s="1"/>
  <c r="Z33" i="12"/>
  <c r="AG33" i="12" s="1"/>
  <c r="AA34" i="12"/>
  <c r="AH34" i="12" s="1"/>
  <c r="Z34" i="12"/>
  <c r="AG34" i="12" s="1"/>
  <c r="AB34" i="12"/>
  <c r="Y34" i="12"/>
  <c r="AF34" i="12" s="1"/>
  <c r="V34" i="12"/>
  <c r="AC34" i="12" s="1"/>
  <c r="X34" i="12"/>
  <c r="AE34" i="12" s="1"/>
  <c r="W34" i="12"/>
  <c r="AD34" i="12" s="1"/>
  <c r="W34" i="6"/>
  <c r="AD34" i="6" s="1"/>
  <c r="Y34" i="6"/>
  <c r="AF34" i="6" s="1"/>
  <c r="X34" i="6"/>
  <c r="AE34" i="6" s="1"/>
  <c r="Z34" i="6"/>
  <c r="AG34" i="6" s="1"/>
  <c r="V34" i="6"/>
  <c r="AC34" i="6" s="1"/>
  <c r="AA34" i="6"/>
  <c r="AH34" i="6" s="1"/>
  <c r="AB34" i="6"/>
  <c r="AI34" i="6" s="1"/>
  <c r="AJ33" i="6"/>
  <c r="N40" i="6"/>
  <c r="R36" i="6"/>
  <c r="S36" i="6"/>
  <c r="B37" i="6" s="1"/>
  <c r="D36" i="6"/>
  <c r="C36" i="11" s="1"/>
  <c r="G36" i="6"/>
  <c r="F36" i="11" s="1"/>
  <c r="E36" i="6"/>
  <c r="D36" i="11" s="1"/>
  <c r="H36" i="6"/>
  <c r="G36" i="11" s="1"/>
  <c r="I36" i="6"/>
  <c r="H36" i="11" s="1"/>
  <c r="F36" i="6"/>
  <c r="E36" i="11" s="1"/>
  <c r="K41" i="6"/>
  <c r="L39" i="6"/>
  <c r="J38" i="6"/>
  <c r="Q37" i="6"/>
  <c r="P39" i="6"/>
  <c r="O39" i="6"/>
  <c r="M39" i="6"/>
  <c r="B35" i="11"/>
  <c r="I35" i="11" s="1"/>
  <c r="C36" i="6"/>
  <c r="K25" i="8"/>
  <c r="L24" i="8"/>
  <c r="P42" i="12" l="1"/>
  <c r="O41" i="12"/>
  <c r="K40" i="12"/>
  <c r="D39" i="12"/>
  <c r="E39" i="12"/>
  <c r="L40" i="12"/>
  <c r="J40" i="12"/>
  <c r="Q39" i="12"/>
  <c r="T38" i="12"/>
  <c r="U38" i="12" s="1"/>
  <c r="F39" i="12"/>
  <c r="M40" i="12"/>
  <c r="R38" i="12"/>
  <c r="S38" i="12" s="1"/>
  <c r="B39" i="12" s="1"/>
  <c r="I38" i="12"/>
  <c r="H38" i="12"/>
  <c r="G39" i="12"/>
  <c r="N40" i="12"/>
  <c r="AI33" i="12"/>
  <c r="AI34" i="12"/>
  <c r="W35" i="6"/>
  <c r="AD35" i="6" s="1"/>
  <c r="AB35" i="6"/>
  <c r="AI35" i="6" s="1"/>
  <c r="Y35" i="6"/>
  <c r="AF35" i="6" s="1"/>
  <c r="X35" i="6"/>
  <c r="AE35" i="6" s="1"/>
  <c r="Z35" i="6"/>
  <c r="AG35" i="6" s="1"/>
  <c r="V35" i="6"/>
  <c r="AC35" i="6" s="1"/>
  <c r="AA35" i="6"/>
  <c r="AH35" i="6" s="1"/>
  <c r="AJ34" i="6"/>
  <c r="J39" i="6"/>
  <c r="Q38" i="6"/>
  <c r="C38" i="6"/>
  <c r="L40" i="6"/>
  <c r="O40" i="6"/>
  <c r="K42" i="6"/>
  <c r="B36" i="11"/>
  <c r="I36" i="11" s="1"/>
  <c r="P40" i="6"/>
  <c r="R37" i="6"/>
  <c r="S37" i="6" s="1"/>
  <c r="B38" i="6" s="1"/>
  <c r="D37" i="6"/>
  <c r="C37" i="11" s="1"/>
  <c r="G37" i="6"/>
  <c r="F37" i="11" s="1"/>
  <c r="H37" i="6"/>
  <c r="G37" i="11" s="1"/>
  <c r="F37" i="6"/>
  <c r="E37" i="11" s="1"/>
  <c r="E37" i="6"/>
  <c r="D37" i="11" s="1"/>
  <c r="I37" i="6"/>
  <c r="H37" i="11" s="1"/>
  <c r="M40" i="6"/>
  <c r="C37" i="6"/>
  <c r="N41" i="6"/>
  <c r="K26" i="8"/>
  <c r="L25" i="8"/>
  <c r="K41" i="12" l="1"/>
  <c r="E40" i="12"/>
  <c r="L41" i="12"/>
  <c r="M41" i="12"/>
  <c r="F40" i="12"/>
  <c r="O42" i="12"/>
  <c r="N41" i="12"/>
  <c r="R39" i="12"/>
  <c r="S39" i="12"/>
  <c r="B40" i="12" s="1"/>
  <c r="I39" i="12"/>
  <c r="H39" i="12"/>
  <c r="C39" i="12"/>
  <c r="T39" i="12" s="1"/>
  <c r="U39" i="12" s="1"/>
  <c r="Q40" i="12"/>
  <c r="J41" i="12"/>
  <c r="P43" i="12"/>
  <c r="Y35" i="12"/>
  <c r="AF35" i="12" s="1"/>
  <c r="X35" i="12"/>
  <c r="AE35" i="12" s="1"/>
  <c r="W35" i="12"/>
  <c r="AD35" i="12" s="1"/>
  <c r="Z35" i="12"/>
  <c r="AG35" i="12" s="1"/>
  <c r="AA35" i="12"/>
  <c r="AH35" i="12" s="1"/>
  <c r="AB35" i="12"/>
  <c r="V35" i="12"/>
  <c r="AC35" i="12" s="1"/>
  <c r="AA36" i="6"/>
  <c r="AH36" i="6" s="1"/>
  <c r="W36" i="6"/>
  <c r="AD36" i="6" s="1"/>
  <c r="AB36" i="6"/>
  <c r="AI36" i="6" s="1"/>
  <c r="Y36" i="6"/>
  <c r="AF36" i="6" s="1"/>
  <c r="X36" i="6"/>
  <c r="AE36" i="6" s="1"/>
  <c r="Z36" i="6"/>
  <c r="AG36" i="6" s="1"/>
  <c r="V36" i="6"/>
  <c r="AC36" i="6" s="1"/>
  <c r="AJ35" i="6"/>
  <c r="K43" i="6"/>
  <c r="O41" i="6"/>
  <c r="P41" i="6"/>
  <c r="R38" i="6"/>
  <c r="S38" i="6" s="1"/>
  <c r="B39" i="6" s="1"/>
  <c r="D38" i="6"/>
  <c r="C38" i="11" s="1"/>
  <c r="G38" i="6"/>
  <c r="F38" i="11" s="1"/>
  <c r="E38" i="6"/>
  <c r="D38" i="11" s="1"/>
  <c r="I38" i="6"/>
  <c r="H38" i="11" s="1"/>
  <c r="H38" i="6"/>
  <c r="G38" i="11" s="1"/>
  <c r="F38" i="6"/>
  <c r="E38" i="11" s="1"/>
  <c r="N42" i="6"/>
  <c r="B37" i="11"/>
  <c r="I37" i="11" s="1"/>
  <c r="M41" i="6"/>
  <c r="L41" i="6"/>
  <c r="B38" i="11"/>
  <c r="J40" i="6"/>
  <c r="Q39" i="6"/>
  <c r="K27" i="8"/>
  <c r="L26" i="8"/>
  <c r="AJ36" i="6" l="1"/>
  <c r="O43" i="12"/>
  <c r="M42" i="12"/>
  <c r="R40" i="12"/>
  <c r="S40" i="12"/>
  <c r="B41" i="12" s="1"/>
  <c r="I40" i="12"/>
  <c r="H40" i="12"/>
  <c r="P44" i="12"/>
  <c r="J42" i="12"/>
  <c r="C41" i="12"/>
  <c r="Q41" i="12"/>
  <c r="G40" i="12"/>
  <c r="D40" i="12"/>
  <c r="E41" i="12"/>
  <c r="L42" i="12"/>
  <c r="C40" i="12"/>
  <c r="N42" i="12"/>
  <c r="K42" i="12"/>
  <c r="D41" i="12"/>
  <c r="AI35" i="12"/>
  <c r="X38" i="12"/>
  <c r="AE38" i="12" s="1"/>
  <c r="W38" i="12"/>
  <c r="AD38" i="12" s="1"/>
  <c r="V38" i="12"/>
  <c r="AC38" i="12" s="1"/>
  <c r="Y38" i="12"/>
  <c r="AF38" i="12" s="1"/>
  <c r="Z38" i="12"/>
  <c r="AG38" i="12" s="1"/>
  <c r="AA38" i="12"/>
  <c r="AH38" i="12" s="1"/>
  <c r="AB38" i="12"/>
  <c r="V36" i="12"/>
  <c r="AC36" i="12" s="1"/>
  <c r="AB36" i="12"/>
  <c r="W36" i="12"/>
  <c r="AD36" i="12" s="1"/>
  <c r="Z36" i="12"/>
  <c r="AG36" i="12" s="1"/>
  <c r="Y36" i="12"/>
  <c r="AF36" i="12" s="1"/>
  <c r="X36" i="12"/>
  <c r="AE36" i="12" s="1"/>
  <c r="AA36" i="12"/>
  <c r="AH36" i="12" s="1"/>
  <c r="W37" i="6"/>
  <c r="AD37" i="6" s="1"/>
  <c r="AA37" i="6"/>
  <c r="AH37" i="6" s="1"/>
  <c r="AB37" i="6"/>
  <c r="AI37" i="6" s="1"/>
  <c r="Y37" i="6"/>
  <c r="AF37" i="6" s="1"/>
  <c r="X37" i="6"/>
  <c r="AE37" i="6" s="1"/>
  <c r="Z37" i="6"/>
  <c r="AG37" i="6" s="1"/>
  <c r="V37" i="6"/>
  <c r="AC37" i="6" s="1"/>
  <c r="R39" i="6"/>
  <c r="S39" i="6" s="1"/>
  <c r="B40" i="6" s="1"/>
  <c r="D39" i="6"/>
  <c r="C39" i="11" s="1"/>
  <c r="G39" i="6"/>
  <c r="F39" i="11" s="1"/>
  <c r="E39" i="6"/>
  <c r="D39" i="11" s="1"/>
  <c r="I39" i="6"/>
  <c r="H39" i="11" s="1"/>
  <c r="F39" i="6"/>
  <c r="E39" i="11" s="1"/>
  <c r="H39" i="6"/>
  <c r="G39" i="11" s="1"/>
  <c r="J41" i="6"/>
  <c r="Q40" i="6"/>
  <c r="C40" i="6" s="1"/>
  <c r="I38" i="11"/>
  <c r="P42" i="6"/>
  <c r="O42" i="6"/>
  <c r="M42" i="6"/>
  <c r="N43" i="6"/>
  <c r="L42" i="6"/>
  <c r="C39" i="6"/>
  <c r="K44" i="6"/>
  <c r="K28" i="8"/>
  <c r="L27" i="8"/>
  <c r="K43" i="12" l="1"/>
  <c r="R41" i="12"/>
  <c r="S41" i="12"/>
  <c r="B42" i="12" s="1"/>
  <c r="I41" i="12"/>
  <c r="H41" i="12"/>
  <c r="N43" i="12"/>
  <c r="G42" i="12"/>
  <c r="G41" i="12"/>
  <c r="J43" i="12"/>
  <c r="Q42" i="12"/>
  <c r="E42" i="12" s="1"/>
  <c r="F41" i="12"/>
  <c r="AI38" i="12"/>
  <c r="T41" i="12"/>
  <c r="U41" i="12" s="1"/>
  <c r="F42" i="12"/>
  <c r="M43" i="12"/>
  <c r="T40" i="12"/>
  <c r="U40" i="12" s="1"/>
  <c r="L43" i="12"/>
  <c r="P45" i="12"/>
  <c r="O44" i="12"/>
  <c r="AI36" i="12"/>
  <c r="AA37" i="12"/>
  <c r="AH37" i="12" s="1"/>
  <c r="Z37" i="12"/>
  <c r="AG37" i="12" s="1"/>
  <c r="Y37" i="12"/>
  <c r="AF37" i="12" s="1"/>
  <c r="V37" i="12"/>
  <c r="AC37" i="12" s="1"/>
  <c r="AB37" i="12"/>
  <c r="W37" i="12"/>
  <c r="AD37" i="12" s="1"/>
  <c r="X37" i="12"/>
  <c r="AE37" i="12" s="1"/>
  <c r="W38" i="6"/>
  <c r="AD38" i="6" s="1"/>
  <c r="AA38" i="6"/>
  <c r="AH38" i="6" s="1"/>
  <c r="Y38" i="6"/>
  <c r="AF38" i="6" s="1"/>
  <c r="AB38" i="6"/>
  <c r="AI38" i="6" s="1"/>
  <c r="X38" i="6"/>
  <c r="AE38" i="6" s="1"/>
  <c r="Z38" i="6"/>
  <c r="AG38" i="6" s="1"/>
  <c r="V38" i="6"/>
  <c r="AC38" i="6" s="1"/>
  <c r="AJ37" i="6"/>
  <c r="K45" i="6"/>
  <c r="B39" i="11"/>
  <c r="I39" i="11" s="1"/>
  <c r="O43" i="6"/>
  <c r="P43" i="6"/>
  <c r="L43" i="6"/>
  <c r="J42" i="6"/>
  <c r="Q41" i="6"/>
  <c r="C41" i="6" s="1"/>
  <c r="N44" i="6"/>
  <c r="B40" i="11"/>
  <c r="M43" i="6"/>
  <c r="R40" i="6"/>
  <c r="S40" i="6" s="1"/>
  <c r="B41" i="6" s="1"/>
  <c r="D40" i="6"/>
  <c r="C40" i="11" s="1"/>
  <c r="G40" i="6"/>
  <c r="F40" i="11" s="1"/>
  <c r="F40" i="6"/>
  <c r="E40" i="11" s="1"/>
  <c r="H40" i="6"/>
  <c r="G40" i="11" s="1"/>
  <c r="E40" i="6"/>
  <c r="D40" i="11" s="1"/>
  <c r="I40" i="6"/>
  <c r="H40" i="11" s="1"/>
  <c r="K29" i="8"/>
  <c r="L28" i="8"/>
  <c r="N44" i="12" l="1"/>
  <c r="R42" i="12"/>
  <c r="S42" i="12"/>
  <c r="B43" i="12" s="1"/>
  <c r="I42" i="12"/>
  <c r="H42" i="12"/>
  <c r="O45" i="12"/>
  <c r="P46" i="12"/>
  <c r="E43" i="12"/>
  <c r="L44" i="12"/>
  <c r="J44" i="12"/>
  <c r="Q43" i="12"/>
  <c r="C43" i="12"/>
  <c r="C42" i="12"/>
  <c r="T42" i="12" s="1"/>
  <c r="U42" i="12" s="1"/>
  <c r="K44" i="12"/>
  <c r="F43" i="12"/>
  <c r="M44" i="12"/>
  <c r="D42" i="12"/>
  <c r="AI37" i="12"/>
  <c r="AB39" i="12"/>
  <c r="AA39" i="12"/>
  <c r="AH39" i="12" s="1"/>
  <c r="V39" i="12"/>
  <c r="AC39" i="12" s="1"/>
  <c r="Z39" i="12"/>
  <c r="AG39" i="12" s="1"/>
  <c r="Y39" i="12"/>
  <c r="AF39" i="12" s="1"/>
  <c r="W39" i="12"/>
  <c r="AD39" i="12" s="1"/>
  <c r="X39" i="12"/>
  <c r="AE39" i="12" s="1"/>
  <c r="AJ38" i="6"/>
  <c r="W39" i="6"/>
  <c r="AD39" i="6" s="1"/>
  <c r="AA39" i="6"/>
  <c r="AH39" i="6" s="1"/>
  <c r="V39" i="6"/>
  <c r="AC39" i="6" s="1"/>
  <c r="Y39" i="6"/>
  <c r="AF39" i="6" s="1"/>
  <c r="AB39" i="6"/>
  <c r="AI39" i="6" s="1"/>
  <c r="X39" i="6"/>
  <c r="AE39" i="6" s="1"/>
  <c r="Z39" i="6"/>
  <c r="AG39" i="6" s="1"/>
  <c r="I40" i="11"/>
  <c r="P44" i="6"/>
  <c r="N45" i="6"/>
  <c r="J43" i="6"/>
  <c r="Q42" i="6"/>
  <c r="C42" i="6" s="1"/>
  <c r="B41" i="11"/>
  <c r="O44" i="6"/>
  <c r="R41" i="6"/>
  <c r="S41" i="6" s="1"/>
  <c r="B42" i="6" s="1"/>
  <c r="D41" i="6"/>
  <c r="C41" i="11" s="1"/>
  <c r="G41" i="6"/>
  <c r="F41" i="11" s="1"/>
  <c r="E41" i="6"/>
  <c r="D41" i="11" s="1"/>
  <c r="F41" i="6"/>
  <c r="E41" i="11" s="1"/>
  <c r="I41" i="6"/>
  <c r="H41" i="11" s="1"/>
  <c r="H41" i="6"/>
  <c r="G41" i="11" s="1"/>
  <c r="M44" i="6"/>
  <c r="L44" i="6"/>
  <c r="K46" i="6"/>
  <c r="K30" i="8"/>
  <c r="L29" i="8"/>
  <c r="O46" i="12" l="1"/>
  <c r="R43" i="12"/>
  <c r="S43" i="12"/>
  <c r="B44" i="12" s="1"/>
  <c r="I43" i="12"/>
  <c r="H43" i="12"/>
  <c r="C44" i="12"/>
  <c r="Q44" i="12"/>
  <c r="J45" i="12"/>
  <c r="F44" i="12"/>
  <c r="M45" i="12"/>
  <c r="E44" i="12"/>
  <c r="L45" i="12"/>
  <c r="D43" i="12"/>
  <c r="P47" i="12"/>
  <c r="N45" i="12"/>
  <c r="G44" i="12"/>
  <c r="K45" i="12"/>
  <c r="D44" i="12"/>
  <c r="G43" i="12"/>
  <c r="T43" i="12" s="1"/>
  <c r="U43" i="12" s="1"/>
  <c r="AI39" i="12"/>
  <c r="AJ39" i="6"/>
  <c r="W40" i="6"/>
  <c r="AD40" i="6" s="1"/>
  <c r="AA40" i="6"/>
  <c r="AH40" i="6" s="1"/>
  <c r="Z40" i="6"/>
  <c r="AG40" i="6" s="1"/>
  <c r="V40" i="6"/>
  <c r="AC40" i="6" s="1"/>
  <c r="Y40" i="6"/>
  <c r="AF40" i="6" s="1"/>
  <c r="AB40" i="6"/>
  <c r="AI40" i="6" s="1"/>
  <c r="X40" i="6"/>
  <c r="AE40" i="6" s="1"/>
  <c r="R42" i="6"/>
  <c r="S42" i="6" s="1"/>
  <c r="B43" i="6" s="1"/>
  <c r="D42" i="6"/>
  <c r="C42" i="11" s="1"/>
  <c r="G42" i="6"/>
  <c r="F42" i="11" s="1"/>
  <c r="H42" i="6"/>
  <c r="G42" i="11" s="1"/>
  <c r="I42" i="6"/>
  <c r="H42" i="11" s="1"/>
  <c r="E42" i="6"/>
  <c r="D42" i="11" s="1"/>
  <c r="F42" i="6"/>
  <c r="E42" i="11" s="1"/>
  <c r="B42" i="11"/>
  <c r="K47" i="6"/>
  <c r="J44" i="6"/>
  <c r="Q43" i="6"/>
  <c r="C43" i="6" s="1"/>
  <c r="I41" i="11"/>
  <c r="P45" i="6"/>
  <c r="L45" i="6"/>
  <c r="N46" i="6"/>
  <c r="M45" i="6"/>
  <c r="O45" i="6"/>
  <c r="K31" i="8"/>
  <c r="L30" i="8"/>
  <c r="E45" i="12" l="1"/>
  <c r="L46" i="12"/>
  <c r="K46" i="12"/>
  <c r="D45" i="12"/>
  <c r="G45" i="12"/>
  <c r="N46" i="12"/>
  <c r="J46" i="12"/>
  <c r="Q45" i="12"/>
  <c r="C45" i="12"/>
  <c r="O47" i="12"/>
  <c r="F45" i="12"/>
  <c r="M46" i="12"/>
  <c r="P48" i="12"/>
  <c r="R44" i="12"/>
  <c r="S44" i="12"/>
  <c r="B45" i="12" s="1"/>
  <c r="I44" i="12"/>
  <c r="H44" i="12"/>
  <c r="T44" i="12" s="1"/>
  <c r="U44" i="12" s="1"/>
  <c r="Z40" i="12"/>
  <c r="AG40" i="12" s="1"/>
  <c r="Y40" i="12"/>
  <c r="AF40" i="12" s="1"/>
  <c r="X40" i="12"/>
  <c r="AE40" i="12" s="1"/>
  <c r="AA40" i="12"/>
  <c r="AH40" i="12" s="1"/>
  <c r="W40" i="12"/>
  <c r="AD40" i="12" s="1"/>
  <c r="V40" i="12"/>
  <c r="AC40" i="12" s="1"/>
  <c r="AB40" i="12"/>
  <c r="AJ40" i="6"/>
  <c r="W41" i="6"/>
  <c r="AD41" i="6" s="1"/>
  <c r="Z41" i="6"/>
  <c r="AG41" i="6" s="1"/>
  <c r="V41" i="6"/>
  <c r="AC41" i="6" s="1"/>
  <c r="AA41" i="6"/>
  <c r="AH41" i="6" s="1"/>
  <c r="AB41" i="6"/>
  <c r="AI41" i="6" s="1"/>
  <c r="Y41" i="6"/>
  <c r="AF41" i="6" s="1"/>
  <c r="X41" i="6"/>
  <c r="AE41" i="6" s="1"/>
  <c r="P46" i="6"/>
  <c r="O46" i="6"/>
  <c r="R43" i="6"/>
  <c r="S43" i="6" s="1"/>
  <c r="B44" i="6" s="1"/>
  <c r="D43" i="6"/>
  <c r="C43" i="11" s="1"/>
  <c r="G43" i="6"/>
  <c r="F43" i="11" s="1"/>
  <c r="F43" i="6"/>
  <c r="E43" i="11" s="1"/>
  <c r="I43" i="6"/>
  <c r="H43" i="11" s="1"/>
  <c r="H43" i="6"/>
  <c r="G43" i="11" s="1"/>
  <c r="E43" i="6"/>
  <c r="D43" i="11" s="1"/>
  <c r="J45" i="6"/>
  <c r="Q44" i="6"/>
  <c r="C44" i="6"/>
  <c r="M46" i="6"/>
  <c r="B43" i="11"/>
  <c r="N47" i="6"/>
  <c r="L46" i="6"/>
  <c r="K48" i="6"/>
  <c r="I42" i="11"/>
  <c r="K32" i="8"/>
  <c r="L31" i="8"/>
  <c r="P49" i="12" l="1"/>
  <c r="Q46" i="12"/>
  <c r="D46" i="12" s="1"/>
  <c r="C46" i="12"/>
  <c r="J47" i="12"/>
  <c r="N47" i="12"/>
  <c r="G46" i="12"/>
  <c r="F46" i="12"/>
  <c r="M47" i="12"/>
  <c r="K47" i="12"/>
  <c r="AI40" i="12"/>
  <c r="O48" i="12"/>
  <c r="E46" i="12"/>
  <c r="L47" i="12"/>
  <c r="R45" i="12"/>
  <c r="S45" i="12"/>
  <c r="B46" i="12" s="1"/>
  <c r="I45" i="12"/>
  <c r="H45" i="12"/>
  <c r="T45" i="12" s="1"/>
  <c r="U45" i="12" s="1"/>
  <c r="W41" i="12"/>
  <c r="AD41" i="12" s="1"/>
  <c r="V41" i="12"/>
  <c r="AC41" i="12" s="1"/>
  <c r="AB41" i="12"/>
  <c r="X41" i="12"/>
  <c r="AE41" i="12" s="1"/>
  <c r="Y41" i="12"/>
  <c r="AF41" i="12" s="1"/>
  <c r="AA41" i="12"/>
  <c r="AH41" i="12" s="1"/>
  <c r="Z41" i="12"/>
  <c r="AG41" i="12" s="1"/>
  <c r="AJ41" i="6"/>
  <c r="W42" i="6"/>
  <c r="AD42" i="6" s="1"/>
  <c r="AB42" i="6"/>
  <c r="AI42" i="6" s="1"/>
  <c r="Y42" i="6"/>
  <c r="AF42" i="6" s="1"/>
  <c r="X42" i="6"/>
  <c r="AE42" i="6" s="1"/>
  <c r="Z42" i="6"/>
  <c r="AG42" i="6" s="1"/>
  <c r="V42" i="6"/>
  <c r="AC42" i="6" s="1"/>
  <c r="AA42" i="6"/>
  <c r="AH42" i="6" s="1"/>
  <c r="K49" i="6"/>
  <c r="R44" i="6"/>
  <c r="S44" i="6"/>
  <c r="B45" i="6" s="1"/>
  <c r="D44" i="6"/>
  <c r="C44" i="11" s="1"/>
  <c r="G44" i="6"/>
  <c r="F44" i="11" s="1"/>
  <c r="I44" i="6"/>
  <c r="H44" i="11" s="1"/>
  <c r="E44" i="6"/>
  <c r="D44" i="11" s="1"/>
  <c r="H44" i="6"/>
  <c r="G44" i="11" s="1"/>
  <c r="F44" i="6"/>
  <c r="E44" i="11" s="1"/>
  <c r="J46" i="6"/>
  <c r="Q45" i="6"/>
  <c r="C45" i="6"/>
  <c r="L47" i="6"/>
  <c r="O47" i="6"/>
  <c r="N48" i="6"/>
  <c r="M47" i="6"/>
  <c r="B44" i="11"/>
  <c r="I43" i="11"/>
  <c r="P47" i="6"/>
  <c r="K33" i="8"/>
  <c r="L32" i="8"/>
  <c r="L48" i="12" l="1"/>
  <c r="O49" i="12"/>
  <c r="K48" i="12"/>
  <c r="T46" i="12"/>
  <c r="U46" i="12" s="1"/>
  <c r="P50" i="12"/>
  <c r="N48" i="12"/>
  <c r="J48" i="12"/>
  <c r="Q47" i="12"/>
  <c r="C47" i="12" s="1"/>
  <c r="R46" i="12"/>
  <c r="S46" i="12" s="1"/>
  <c r="B47" i="12" s="1"/>
  <c r="I46" i="12"/>
  <c r="H46" i="12"/>
  <c r="M48" i="12"/>
  <c r="AA42" i="12"/>
  <c r="AH42" i="12" s="1"/>
  <c r="Z42" i="12"/>
  <c r="AG42" i="12" s="1"/>
  <c r="AB42" i="12"/>
  <c r="Y42" i="12"/>
  <c r="AF42" i="12" s="1"/>
  <c r="V42" i="12"/>
  <c r="AC42" i="12" s="1"/>
  <c r="X42" i="12"/>
  <c r="AE42" i="12" s="1"/>
  <c r="W42" i="12"/>
  <c r="AD42" i="12" s="1"/>
  <c r="AI41" i="12"/>
  <c r="AJ42" i="6"/>
  <c r="W43" i="6"/>
  <c r="AD43" i="6" s="1"/>
  <c r="AB43" i="6"/>
  <c r="AI43" i="6" s="1"/>
  <c r="Y43" i="6"/>
  <c r="AF43" i="6" s="1"/>
  <c r="X43" i="6"/>
  <c r="AE43" i="6" s="1"/>
  <c r="Z43" i="6"/>
  <c r="AG43" i="6" s="1"/>
  <c r="V43" i="6"/>
  <c r="AC43" i="6" s="1"/>
  <c r="AA43" i="6"/>
  <c r="AH43" i="6" s="1"/>
  <c r="I44" i="11"/>
  <c r="L48" i="6"/>
  <c r="R45" i="6"/>
  <c r="S45" i="6" s="1"/>
  <c r="B46" i="6" s="1"/>
  <c r="D45" i="6"/>
  <c r="C45" i="11" s="1"/>
  <c r="G45" i="6"/>
  <c r="F45" i="11" s="1"/>
  <c r="E45" i="6"/>
  <c r="D45" i="11" s="1"/>
  <c r="I45" i="6"/>
  <c r="H45" i="11" s="1"/>
  <c r="H45" i="6"/>
  <c r="G45" i="11" s="1"/>
  <c r="F45" i="6"/>
  <c r="E45" i="11" s="1"/>
  <c r="N49" i="6"/>
  <c r="P48" i="6"/>
  <c r="K50" i="6"/>
  <c r="B45" i="11"/>
  <c r="M48" i="6"/>
  <c r="J47" i="6"/>
  <c r="Q46" i="6"/>
  <c r="C46" i="6" s="1"/>
  <c r="O48" i="6"/>
  <c r="K34" i="8"/>
  <c r="L33" i="8"/>
  <c r="D47" i="12" l="1"/>
  <c r="T47" i="12" s="1"/>
  <c r="U47" i="12" s="1"/>
  <c r="N49" i="12"/>
  <c r="K49" i="12"/>
  <c r="R47" i="12"/>
  <c r="S47" i="12" s="1"/>
  <c r="B48" i="12" s="1"/>
  <c r="I47" i="12"/>
  <c r="H47" i="12"/>
  <c r="M49" i="12"/>
  <c r="J49" i="12"/>
  <c r="Q48" i="12"/>
  <c r="F48" i="12" s="1"/>
  <c r="F47" i="12"/>
  <c r="O50" i="12"/>
  <c r="G47" i="12"/>
  <c r="E47" i="12"/>
  <c r="P51" i="12"/>
  <c r="L49" i="12"/>
  <c r="AA43" i="12"/>
  <c r="AH43" i="12" s="1"/>
  <c r="Z43" i="12"/>
  <c r="AG43" i="12" s="1"/>
  <c r="Y43" i="12"/>
  <c r="AF43" i="12" s="1"/>
  <c r="X43" i="12"/>
  <c r="AE43" i="12" s="1"/>
  <c r="W43" i="12"/>
  <c r="AD43" i="12" s="1"/>
  <c r="V43" i="12"/>
  <c r="AC43" i="12" s="1"/>
  <c r="AB43" i="12"/>
  <c r="AI42" i="12"/>
  <c r="AJ43" i="6"/>
  <c r="W44" i="6"/>
  <c r="AD44" i="6" s="1"/>
  <c r="AA44" i="6"/>
  <c r="AH44" i="6" s="1"/>
  <c r="AB44" i="6"/>
  <c r="AI44" i="6" s="1"/>
  <c r="Y44" i="6"/>
  <c r="AF44" i="6" s="1"/>
  <c r="X44" i="6"/>
  <c r="AE44" i="6" s="1"/>
  <c r="Z44" i="6"/>
  <c r="AG44" i="6" s="1"/>
  <c r="V44" i="6"/>
  <c r="AC44" i="6" s="1"/>
  <c r="L49" i="6"/>
  <c r="O49" i="6"/>
  <c r="B46" i="11"/>
  <c r="K51" i="6"/>
  <c r="R46" i="6"/>
  <c r="S46" i="6" s="1"/>
  <c r="B47" i="6" s="1"/>
  <c r="D46" i="6"/>
  <c r="C46" i="11" s="1"/>
  <c r="G46" i="6"/>
  <c r="F46" i="11" s="1"/>
  <c r="I46" i="6"/>
  <c r="H46" i="11" s="1"/>
  <c r="F46" i="6"/>
  <c r="E46" i="11" s="1"/>
  <c r="H46" i="6"/>
  <c r="G46" i="11" s="1"/>
  <c r="E46" i="6"/>
  <c r="D46" i="11" s="1"/>
  <c r="M49" i="6"/>
  <c r="N50" i="6"/>
  <c r="J48" i="6"/>
  <c r="Q47" i="6"/>
  <c r="C47" i="6" s="1"/>
  <c r="P49" i="6"/>
  <c r="I45" i="11"/>
  <c r="K35" i="8"/>
  <c r="L34" i="8"/>
  <c r="E48" i="12" l="1"/>
  <c r="P52" i="12"/>
  <c r="D48" i="12"/>
  <c r="F49" i="12"/>
  <c r="M50" i="12"/>
  <c r="G48" i="12"/>
  <c r="E49" i="12"/>
  <c r="L50" i="12"/>
  <c r="J50" i="12"/>
  <c r="Q49" i="12"/>
  <c r="C49" i="12"/>
  <c r="C48" i="12"/>
  <c r="G49" i="12"/>
  <c r="N50" i="12"/>
  <c r="R48" i="12"/>
  <c r="S48" i="12" s="1"/>
  <c r="B49" i="12" s="1"/>
  <c r="I48" i="12"/>
  <c r="H48" i="12"/>
  <c r="D49" i="12"/>
  <c r="K50" i="12"/>
  <c r="O51" i="12"/>
  <c r="AI43" i="12"/>
  <c r="X44" i="12"/>
  <c r="AE44" i="12" s="1"/>
  <c r="AA44" i="12"/>
  <c r="AH44" i="12" s="1"/>
  <c r="Z44" i="12"/>
  <c r="AG44" i="12" s="1"/>
  <c r="Y44" i="12"/>
  <c r="AF44" i="12" s="1"/>
  <c r="W44" i="12"/>
  <c r="AD44" i="12" s="1"/>
  <c r="V44" i="12"/>
  <c r="AC44" i="12" s="1"/>
  <c r="AB44" i="12"/>
  <c r="AI44" i="12" s="1"/>
  <c r="AJ44" i="6"/>
  <c r="W45" i="6"/>
  <c r="AD45" i="6" s="1"/>
  <c r="AA45" i="6"/>
  <c r="AH45" i="6" s="1"/>
  <c r="AB45" i="6"/>
  <c r="AI45" i="6" s="1"/>
  <c r="X45" i="6"/>
  <c r="AE45" i="6" s="1"/>
  <c r="Z45" i="6"/>
  <c r="AG45" i="6" s="1"/>
  <c r="V45" i="6"/>
  <c r="AC45" i="6" s="1"/>
  <c r="Y45" i="6"/>
  <c r="AF45" i="6" s="1"/>
  <c r="L50" i="6"/>
  <c r="B47" i="11"/>
  <c r="K52" i="6"/>
  <c r="I46" i="11"/>
  <c r="J49" i="6"/>
  <c r="Q48" i="6"/>
  <c r="C48" i="6" s="1"/>
  <c r="N51" i="6"/>
  <c r="O50" i="6"/>
  <c r="M50" i="6"/>
  <c r="P50" i="6"/>
  <c r="R47" i="6"/>
  <c r="S47" i="6" s="1"/>
  <c r="B48" i="6" s="1"/>
  <c r="D47" i="6"/>
  <c r="C47" i="11" s="1"/>
  <c r="G47" i="6"/>
  <c r="F47" i="11" s="1"/>
  <c r="E47" i="6"/>
  <c r="D47" i="11" s="1"/>
  <c r="F47" i="6"/>
  <c r="E47" i="11" s="1"/>
  <c r="H47" i="6"/>
  <c r="G47" i="11" s="1"/>
  <c r="I47" i="6"/>
  <c r="H47" i="11" s="1"/>
  <c r="K36" i="8"/>
  <c r="L35" i="8"/>
  <c r="O52" i="12" l="1"/>
  <c r="N51" i="12"/>
  <c r="M51" i="12"/>
  <c r="T48" i="12"/>
  <c r="U48" i="12" s="1"/>
  <c r="K51" i="12"/>
  <c r="R49" i="12"/>
  <c r="S49" i="12"/>
  <c r="B50" i="12" s="1"/>
  <c r="I49" i="12"/>
  <c r="H49" i="12"/>
  <c r="T49" i="12" s="1"/>
  <c r="U49" i="12" s="1"/>
  <c r="Q50" i="12"/>
  <c r="C50" i="12" s="1"/>
  <c r="J51" i="12"/>
  <c r="P53" i="12"/>
  <c r="L51" i="12"/>
  <c r="AB45" i="12"/>
  <c r="AA45" i="12"/>
  <c r="AH45" i="12" s="1"/>
  <c r="V45" i="12"/>
  <c r="AC45" i="12" s="1"/>
  <c r="Z45" i="12"/>
  <c r="AG45" i="12" s="1"/>
  <c r="Y45" i="12"/>
  <c r="AF45" i="12" s="1"/>
  <c r="X45" i="12"/>
  <c r="AE45" i="12" s="1"/>
  <c r="W45" i="12"/>
  <c r="AD45" i="12" s="1"/>
  <c r="AJ45" i="6"/>
  <c r="W46" i="6"/>
  <c r="AD46" i="6" s="1"/>
  <c r="AA46" i="6"/>
  <c r="AH46" i="6" s="1"/>
  <c r="AB46" i="6"/>
  <c r="AI46" i="6" s="1"/>
  <c r="X46" i="6"/>
  <c r="AE46" i="6" s="1"/>
  <c r="Z46" i="6"/>
  <c r="AG46" i="6" s="1"/>
  <c r="V46" i="6"/>
  <c r="AC46" i="6" s="1"/>
  <c r="Y46" i="6"/>
  <c r="AF46" i="6" s="1"/>
  <c r="O51" i="6"/>
  <c r="K53" i="6"/>
  <c r="N52" i="6"/>
  <c r="I47" i="11"/>
  <c r="B48" i="11"/>
  <c r="J50" i="6"/>
  <c r="Q49" i="6"/>
  <c r="C49" i="6" s="1"/>
  <c r="M51" i="6"/>
  <c r="P51" i="6"/>
  <c r="R48" i="6"/>
  <c r="S48" i="6" s="1"/>
  <c r="B49" i="6" s="1"/>
  <c r="D48" i="6"/>
  <c r="C48" i="11" s="1"/>
  <c r="G48" i="6"/>
  <c r="F48" i="11" s="1"/>
  <c r="E48" i="6"/>
  <c r="D48" i="11" s="1"/>
  <c r="F48" i="6"/>
  <c r="E48" i="11" s="1"/>
  <c r="I48" i="6"/>
  <c r="H48" i="11" s="1"/>
  <c r="H48" i="6"/>
  <c r="G48" i="11" s="1"/>
  <c r="L51" i="6"/>
  <c r="K37" i="8"/>
  <c r="L36" i="8"/>
  <c r="M52" i="12" l="1"/>
  <c r="K52" i="12"/>
  <c r="R50" i="12"/>
  <c r="S50" i="12"/>
  <c r="B51" i="12" s="1"/>
  <c r="I50" i="12"/>
  <c r="H50" i="12"/>
  <c r="E50" i="12"/>
  <c r="P54" i="12"/>
  <c r="G50" i="12"/>
  <c r="F50" i="12"/>
  <c r="E51" i="12"/>
  <c r="L52" i="12"/>
  <c r="N52" i="12"/>
  <c r="J52" i="12"/>
  <c r="Q51" i="12"/>
  <c r="D51" i="12" s="1"/>
  <c r="D50" i="12"/>
  <c r="T50" i="12" s="1"/>
  <c r="U50" i="12" s="1"/>
  <c r="O53" i="12"/>
  <c r="AI45" i="12"/>
  <c r="Z46" i="12"/>
  <c r="AG46" i="12" s="1"/>
  <c r="V46" i="12"/>
  <c r="AC46" i="12" s="1"/>
  <c r="AB46" i="12"/>
  <c r="W46" i="12"/>
  <c r="AD46" i="12" s="1"/>
  <c r="AA46" i="12"/>
  <c r="AH46" i="12" s="1"/>
  <c r="Y46" i="12"/>
  <c r="AF46" i="12" s="1"/>
  <c r="X46" i="12"/>
  <c r="AE46" i="12" s="1"/>
  <c r="AJ46" i="6"/>
  <c r="W47" i="6"/>
  <c r="AD47" i="6" s="1"/>
  <c r="AB47" i="6"/>
  <c r="AI47" i="6" s="1"/>
  <c r="X47" i="6"/>
  <c r="AE47" i="6" s="1"/>
  <c r="Z47" i="6"/>
  <c r="AG47" i="6" s="1"/>
  <c r="AA47" i="6"/>
  <c r="AH47" i="6" s="1"/>
  <c r="V47" i="6"/>
  <c r="AC47" i="6" s="1"/>
  <c r="Y47" i="6"/>
  <c r="AF47" i="6" s="1"/>
  <c r="P52" i="6"/>
  <c r="M52" i="6"/>
  <c r="N53" i="6"/>
  <c r="B49" i="11"/>
  <c r="R49" i="6"/>
  <c r="S49" i="6" s="1"/>
  <c r="B50" i="6" s="1"/>
  <c r="D49" i="6"/>
  <c r="C49" i="11" s="1"/>
  <c r="G49" i="6"/>
  <c r="F49" i="11" s="1"/>
  <c r="H49" i="6"/>
  <c r="G49" i="11" s="1"/>
  <c r="E49" i="6"/>
  <c r="D49" i="11" s="1"/>
  <c r="I49" i="6"/>
  <c r="H49" i="11" s="1"/>
  <c r="F49" i="6"/>
  <c r="E49" i="11" s="1"/>
  <c r="J51" i="6"/>
  <c r="Q50" i="6"/>
  <c r="C50" i="6" s="1"/>
  <c r="I48" i="11"/>
  <c r="K54" i="6"/>
  <c r="L52" i="6"/>
  <c r="O52" i="6"/>
  <c r="K38" i="8"/>
  <c r="L37" i="8"/>
  <c r="O54" i="12" l="1"/>
  <c r="K53" i="12"/>
  <c r="C51" i="12"/>
  <c r="Q52" i="12"/>
  <c r="D52" i="12" s="1"/>
  <c r="J53" i="12"/>
  <c r="P55" i="12"/>
  <c r="M53" i="12"/>
  <c r="L53" i="12"/>
  <c r="S51" i="12"/>
  <c r="B52" i="12" s="1"/>
  <c r="R51" i="12"/>
  <c r="I51" i="12"/>
  <c r="H51" i="12"/>
  <c r="N53" i="12"/>
  <c r="F51" i="12"/>
  <c r="G51" i="12"/>
  <c r="W47" i="12"/>
  <c r="AD47" i="12" s="1"/>
  <c r="X47" i="12"/>
  <c r="AE47" i="12" s="1"/>
  <c r="V47" i="12"/>
  <c r="AC47" i="12" s="1"/>
  <c r="AB47" i="12"/>
  <c r="Y47" i="12"/>
  <c r="AF47" i="12" s="1"/>
  <c r="AA47" i="12"/>
  <c r="AH47" i="12" s="1"/>
  <c r="Z47" i="12"/>
  <c r="AG47" i="12" s="1"/>
  <c r="AI46" i="12"/>
  <c r="Y48" i="12"/>
  <c r="AF48" i="12" s="1"/>
  <c r="X48" i="12"/>
  <c r="AE48" i="12" s="1"/>
  <c r="W48" i="12"/>
  <c r="AD48" i="12" s="1"/>
  <c r="Z48" i="12"/>
  <c r="AG48" i="12" s="1"/>
  <c r="AA48" i="12"/>
  <c r="AH48" i="12" s="1"/>
  <c r="V48" i="12"/>
  <c r="AC48" i="12" s="1"/>
  <c r="AB48" i="12"/>
  <c r="AJ47" i="6"/>
  <c r="W48" i="6"/>
  <c r="AD48" i="6" s="1"/>
  <c r="Z48" i="6"/>
  <c r="AG48" i="6" s="1"/>
  <c r="AB48" i="6"/>
  <c r="AI48" i="6" s="1"/>
  <c r="X48" i="6"/>
  <c r="AE48" i="6" s="1"/>
  <c r="AA48" i="6"/>
  <c r="AH48" i="6" s="1"/>
  <c r="V48" i="6"/>
  <c r="AC48" i="6" s="1"/>
  <c r="Y48" i="6"/>
  <c r="AF48" i="6" s="1"/>
  <c r="L53" i="6"/>
  <c r="O53" i="6"/>
  <c r="J52" i="6"/>
  <c r="Q51" i="6"/>
  <c r="C51" i="6"/>
  <c r="I49" i="11"/>
  <c r="N54" i="6"/>
  <c r="K55" i="6"/>
  <c r="M53" i="6"/>
  <c r="B50" i="11"/>
  <c r="R50" i="6"/>
  <c r="S50" i="6" s="1"/>
  <c r="B51" i="6" s="1"/>
  <c r="D50" i="6"/>
  <c r="C50" i="11" s="1"/>
  <c r="G50" i="6"/>
  <c r="F50" i="11" s="1"/>
  <c r="E50" i="6"/>
  <c r="D50" i="11" s="1"/>
  <c r="H50" i="6"/>
  <c r="G50" i="11" s="1"/>
  <c r="I50" i="6"/>
  <c r="H50" i="11" s="1"/>
  <c r="F50" i="6"/>
  <c r="E50" i="11" s="1"/>
  <c r="P53" i="6"/>
  <c r="K39" i="8"/>
  <c r="L38" i="8"/>
  <c r="C52" i="12" l="1"/>
  <c r="E52" i="12"/>
  <c r="G52" i="12"/>
  <c r="F52" i="12"/>
  <c r="R52" i="12"/>
  <c r="S52" i="12"/>
  <c r="B53" i="12" s="1"/>
  <c r="I52" i="12"/>
  <c r="H52" i="12"/>
  <c r="L54" i="12"/>
  <c r="P56" i="12"/>
  <c r="J54" i="12"/>
  <c r="Q53" i="12"/>
  <c r="D53" i="12" s="1"/>
  <c r="T51" i="12"/>
  <c r="U51" i="12" s="1"/>
  <c r="N54" i="12"/>
  <c r="M54" i="12"/>
  <c r="K54" i="12"/>
  <c r="O55" i="12"/>
  <c r="AI48" i="12"/>
  <c r="AI47" i="12"/>
  <c r="AJ48" i="6"/>
  <c r="W49" i="6"/>
  <c r="AD49" i="6" s="1"/>
  <c r="Z49" i="6"/>
  <c r="AG49" i="6" s="1"/>
  <c r="V49" i="6"/>
  <c r="AC49" i="6" s="1"/>
  <c r="Y49" i="6"/>
  <c r="AF49" i="6" s="1"/>
  <c r="X49" i="6"/>
  <c r="AE49" i="6" s="1"/>
  <c r="AB49" i="6"/>
  <c r="AI49" i="6" s="1"/>
  <c r="AA49" i="6"/>
  <c r="AH49" i="6" s="1"/>
  <c r="J53" i="6"/>
  <c r="Q52" i="6"/>
  <c r="P54" i="6"/>
  <c r="L54" i="6"/>
  <c r="I50" i="11"/>
  <c r="B51" i="11"/>
  <c r="M54" i="6"/>
  <c r="R51" i="6"/>
  <c r="S51" i="6" s="1"/>
  <c r="B52" i="6" s="1"/>
  <c r="D51" i="6"/>
  <c r="C51" i="11" s="1"/>
  <c r="G51" i="6"/>
  <c r="F51" i="11" s="1"/>
  <c r="H51" i="6"/>
  <c r="G51" i="11" s="1"/>
  <c r="F51" i="6"/>
  <c r="E51" i="11" s="1"/>
  <c r="I51" i="6"/>
  <c r="H51" i="11" s="1"/>
  <c r="E51" i="6"/>
  <c r="D51" i="11" s="1"/>
  <c r="K56" i="6"/>
  <c r="O54" i="6"/>
  <c r="N55" i="6"/>
  <c r="K40" i="8"/>
  <c r="L39" i="8"/>
  <c r="K55" i="12" l="1"/>
  <c r="N55" i="12"/>
  <c r="O56" i="12"/>
  <c r="R53" i="12"/>
  <c r="S53" i="12" s="1"/>
  <c r="B54" i="12" s="1"/>
  <c r="I53" i="12"/>
  <c r="H53" i="12"/>
  <c r="C53" i="12"/>
  <c r="Q54" i="12"/>
  <c r="C54" i="12"/>
  <c r="J55" i="12"/>
  <c r="M55" i="12"/>
  <c r="F54" i="12"/>
  <c r="F53" i="12"/>
  <c r="P57" i="12"/>
  <c r="L55" i="12"/>
  <c r="E54" i="12"/>
  <c r="G53" i="12"/>
  <c r="E53" i="12"/>
  <c r="T52" i="12"/>
  <c r="U52" i="12" s="1"/>
  <c r="Y49" i="12"/>
  <c r="AF49" i="12" s="1"/>
  <c r="Z49" i="12"/>
  <c r="AG49" i="12" s="1"/>
  <c r="X49" i="12"/>
  <c r="AE49" i="12" s="1"/>
  <c r="W49" i="12"/>
  <c r="AD49" i="12" s="1"/>
  <c r="AA49" i="12"/>
  <c r="AH49" i="12" s="1"/>
  <c r="V49" i="12"/>
  <c r="AC49" i="12" s="1"/>
  <c r="AB49" i="12"/>
  <c r="AJ49" i="6"/>
  <c r="W50" i="6"/>
  <c r="AD50" i="6" s="1"/>
  <c r="Y50" i="6"/>
  <c r="AF50" i="6" s="1"/>
  <c r="X50" i="6"/>
  <c r="AE50" i="6" s="1"/>
  <c r="Z50" i="6"/>
  <c r="AG50" i="6" s="1"/>
  <c r="V50" i="6"/>
  <c r="AC50" i="6" s="1"/>
  <c r="AA50" i="6"/>
  <c r="AH50" i="6" s="1"/>
  <c r="AB50" i="6"/>
  <c r="AI50" i="6" s="1"/>
  <c r="I51" i="11"/>
  <c r="R52" i="6"/>
  <c r="S52" i="6" s="1"/>
  <c r="B53" i="6" s="1"/>
  <c r="D52" i="6"/>
  <c r="C52" i="11" s="1"/>
  <c r="G52" i="6"/>
  <c r="F52" i="11" s="1"/>
  <c r="E52" i="6"/>
  <c r="D52" i="11" s="1"/>
  <c r="I52" i="6"/>
  <c r="H52" i="11" s="1"/>
  <c r="H52" i="6"/>
  <c r="G52" i="11" s="1"/>
  <c r="F52" i="6"/>
  <c r="E52" i="11" s="1"/>
  <c r="N56" i="6"/>
  <c r="P55" i="6"/>
  <c r="J54" i="6"/>
  <c r="Q53" i="6"/>
  <c r="C53" i="6" s="1"/>
  <c r="O55" i="6"/>
  <c r="L55" i="6"/>
  <c r="K57" i="6"/>
  <c r="M55" i="6"/>
  <c r="C52" i="6"/>
  <c r="K41" i="8"/>
  <c r="L40" i="8"/>
  <c r="AI49" i="12" l="1"/>
  <c r="J56" i="12"/>
  <c r="Q55" i="12"/>
  <c r="R54" i="12"/>
  <c r="S54" i="12"/>
  <c r="B55" i="12" s="1"/>
  <c r="I54" i="12"/>
  <c r="H54" i="12"/>
  <c r="T53" i="12"/>
  <c r="U53" i="12" s="1"/>
  <c r="N56" i="12"/>
  <c r="M56" i="12"/>
  <c r="T54" i="12"/>
  <c r="U54" i="12" s="1"/>
  <c r="O57" i="12"/>
  <c r="L56" i="12"/>
  <c r="G54" i="12"/>
  <c r="P58" i="12"/>
  <c r="D54" i="12"/>
  <c r="D55" i="12"/>
  <c r="K56" i="12"/>
  <c r="V50" i="12"/>
  <c r="AC50" i="12" s="1"/>
  <c r="AA50" i="12"/>
  <c r="AH50" i="12" s="1"/>
  <c r="Z50" i="12"/>
  <c r="AG50" i="12" s="1"/>
  <c r="Y50" i="12"/>
  <c r="AF50" i="12" s="1"/>
  <c r="X50" i="12"/>
  <c r="AE50" i="12" s="1"/>
  <c r="W50" i="12"/>
  <c r="AD50" i="12" s="1"/>
  <c r="AB50" i="12"/>
  <c r="AJ50" i="6"/>
  <c r="AB51" i="6"/>
  <c r="AI51" i="6" s="1"/>
  <c r="AA51" i="6"/>
  <c r="AH51" i="6" s="1"/>
  <c r="Y51" i="6"/>
  <c r="AF51" i="6" s="1"/>
  <c r="X51" i="6"/>
  <c r="AE51" i="6" s="1"/>
  <c r="Z51" i="6"/>
  <c r="AG51" i="6" s="1"/>
  <c r="V51" i="6"/>
  <c r="AC51" i="6" s="1"/>
  <c r="W51" i="6"/>
  <c r="AD51" i="6" s="1"/>
  <c r="B52" i="11"/>
  <c r="I52" i="11" s="1"/>
  <c r="O56" i="6"/>
  <c r="M56" i="6"/>
  <c r="R53" i="6"/>
  <c r="S53" i="6" s="1"/>
  <c r="B54" i="6" s="1"/>
  <c r="D53" i="6"/>
  <c r="C53" i="11" s="1"/>
  <c r="G53" i="6"/>
  <c r="F53" i="11" s="1"/>
  <c r="F53" i="6"/>
  <c r="E53" i="11" s="1"/>
  <c r="I53" i="6"/>
  <c r="H53" i="11" s="1"/>
  <c r="E53" i="6"/>
  <c r="D53" i="11" s="1"/>
  <c r="H53" i="6"/>
  <c r="G53" i="11" s="1"/>
  <c r="K58" i="6"/>
  <c r="P56" i="6"/>
  <c r="L56" i="6"/>
  <c r="N57" i="6"/>
  <c r="B53" i="11"/>
  <c r="J55" i="6"/>
  <c r="Q54" i="6"/>
  <c r="C54" i="6"/>
  <c r="K42" i="8"/>
  <c r="L41" i="8"/>
  <c r="AJ51" i="6" l="1"/>
  <c r="K57" i="12"/>
  <c r="R55" i="12"/>
  <c r="S55" i="12" s="1"/>
  <c r="B56" i="12" s="1"/>
  <c r="I55" i="12"/>
  <c r="H55" i="12"/>
  <c r="P59" i="12"/>
  <c r="M57" i="12"/>
  <c r="N57" i="12"/>
  <c r="G56" i="12"/>
  <c r="C55" i="12"/>
  <c r="F55" i="12"/>
  <c r="E56" i="12"/>
  <c r="L57" i="12"/>
  <c r="G55" i="12"/>
  <c r="Q56" i="12"/>
  <c r="J57" i="12"/>
  <c r="C56" i="12"/>
  <c r="O58" i="12"/>
  <c r="E55" i="12"/>
  <c r="X52" i="12"/>
  <c r="AE52" i="12" s="1"/>
  <c r="AB52" i="12"/>
  <c r="V52" i="12"/>
  <c r="AC52" i="12" s="1"/>
  <c r="AA52" i="12"/>
  <c r="AH52" i="12" s="1"/>
  <c r="Z52" i="12"/>
  <c r="AG52" i="12" s="1"/>
  <c r="Y52" i="12"/>
  <c r="AF52" i="12" s="1"/>
  <c r="W52" i="12"/>
  <c r="AD52" i="12" s="1"/>
  <c r="AA51" i="12"/>
  <c r="AH51" i="12" s="1"/>
  <c r="Z51" i="12"/>
  <c r="AG51" i="12" s="1"/>
  <c r="AB51" i="12"/>
  <c r="Y51" i="12"/>
  <c r="AF51" i="12" s="1"/>
  <c r="X51" i="12"/>
  <c r="AE51" i="12" s="1"/>
  <c r="W51" i="12"/>
  <c r="AD51" i="12" s="1"/>
  <c r="V51" i="12"/>
  <c r="AC51" i="12" s="1"/>
  <c r="AI50" i="12"/>
  <c r="AA52" i="6"/>
  <c r="AH52" i="6" s="1"/>
  <c r="AB52" i="6"/>
  <c r="AI52" i="6" s="1"/>
  <c r="Y52" i="6"/>
  <c r="AF52" i="6" s="1"/>
  <c r="X52" i="6"/>
  <c r="AE52" i="6" s="1"/>
  <c r="W52" i="6"/>
  <c r="AD52" i="6" s="1"/>
  <c r="Z52" i="6"/>
  <c r="AG52" i="6" s="1"/>
  <c r="V52" i="6"/>
  <c r="AC52" i="6" s="1"/>
  <c r="J56" i="6"/>
  <c r="Q55" i="6"/>
  <c r="C55" i="6"/>
  <c r="P57" i="6"/>
  <c r="K59" i="6"/>
  <c r="N58" i="6"/>
  <c r="L57" i="6"/>
  <c r="I53" i="11"/>
  <c r="M57" i="6"/>
  <c r="O57" i="6"/>
  <c r="B54" i="11"/>
  <c r="R54" i="6"/>
  <c r="S54" i="6" s="1"/>
  <c r="B55" i="6" s="1"/>
  <c r="D54" i="6"/>
  <c r="C54" i="11" s="1"/>
  <c r="G54" i="6"/>
  <c r="F54" i="11" s="1"/>
  <c r="H54" i="6"/>
  <c r="G54" i="11" s="1"/>
  <c r="I54" i="6"/>
  <c r="H54" i="11" s="1"/>
  <c r="F54" i="6"/>
  <c r="E54" i="11" s="1"/>
  <c r="E54" i="6"/>
  <c r="D54" i="11" s="1"/>
  <c r="K43" i="8"/>
  <c r="L42" i="8"/>
  <c r="P60" i="12" l="1"/>
  <c r="O59" i="12"/>
  <c r="T55" i="12"/>
  <c r="U55" i="12" s="1"/>
  <c r="T56" i="12"/>
  <c r="U56" i="12" s="1"/>
  <c r="R56" i="12"/>
  <c r="S56" i="12"/>
  <c r="B57" i="12" s="1"/>
  <c r="I56" i="12"/>
  <c r="H56" i="12"/>
  <c r="D57" i="12"/>
  <c r="K58" i="12"/>
  <c r="L58" i="12"/>
  <c r="E57" i="12"/>
  <c r="J58" i="12"/>
  <c r="C57" i="12"/>
  <c r="Q57" i="12"/>
  <c r="G57" i="12" s="1"/>
  <c r="N58" i="12"/>
  <c r="F57" i="12"/>
  <c r="M58" i="12"/>
  <c r="F56" i="12"/>
  <c r="D56" i="12"/>
  <c r="AB53" i="12"/>
  <c r="AA53" i="12"/>
  <c r="AH53" i="12" s="1"/>
  <c r="X53" i="12"/>
  <c r="AE53" i="12" s="1"/>
  <c r="W53" i="12"/>
  <c r="AD53" i="12" s="1"/>
  <c r="V53" i="12"/>
  <c r="AC53" i="12" s="1"/>
  <c r="Y53" i="12"/>
  <c r="AF53" i="12" s="1"/>
  <c r="Z53" i="12"/>
  <c r="AG53" i="12" s="1"/>
  <c r="AI51" i="12"/>
  <c r="AI52" i="12"/>
  <c r="AJ52" i="6"/>
  <c r="W53" i="6"/>
  <c r="AD53" i="6" s="1"/>
  <c r="AA53" i="6"/>
  <c r="AH53" i="6" s="1"/>
  <c r="AB53" i="6"/>
  <c r="AI53" i="6" s="1"/>
  <c r="Y53" i="6"/>
  <c r="AF53" i="6" s="1"/>
  <c r="V53" i="6"/>
  <c r="AC53" i="6" s="1"/>
  <c r="X53" i="6"/>
  <c r="AE53" i="6" s="1"/>
  <c r="Z53" i="6"/>
  <c r="AG53" i="6" s="1"/>
  <c r="N59" i="6"/>
  <c r="P58" i="6"/>
  <c r="O58" i="6"/>
  <c r="K60" i="6"/>
  <c r="M58" i="6"/>
  <c r="B55" i="11"/>
  <c r="I54" i="11"/>
  <c r="L58" i="6"/>
  <c r="R55" i="6"/>
  <c r="S55" i="6" s="1"/>
  <c r="B56" i="6" s="1"/>
  <c r="D55" i="6"/>
  <c r="C55" i="11" s="1"/>
  <c r="G55" i="6"/>
  <c r="F55" i="11" s="1"/>
  <c r="I55" i="6"/>
  <c r="H55" i="11" s="1"/>
  <c r="F55" i="6"/>
  <c r="E55" i="11" s="1"/>
  <c r="E55" i="6"/>
  <c r="D55" i="11" s="1"/>
  <c r="H55" i="6"/>
  <c r="G55" i="11" s="1"/>
  <c r="J57" i="6"/>
  <c r="Q56" i="6"/>
  <c r="K44" i="8"/>
  <c r="L43" i="8"/>
  <c r="L59" i="12" l="1"/>
  <c r="T57" i="12"/>
  <c r="U57" i="12" s="1"/>
  <c r="J59" i="12"/>
  <c r="Q58" i="12"/>
  <c r="C58" i="12" s="1"/>
  <c r="N59" i="12"/>
  <c r="G58" i="12"/>
  <c r="M59" i="12"/>
  <c r="O60" i="12"/>
  <c r="K59" i="12"/>
  <c r="R57" i="12"/>
  <c r="S57" i="12"/>
  <c r="B58" i="12" s="1"/>
  <c r="I57" i="12"/>
  <c r="H57" i="12"/>
  <c r="P61" i="12"/>
  <c r="AI53" i="12"/>
  <c r="W54" i="6"/>
  <c r="AD54" i="6" s="1"/>
  <c r="AA54" i="6"/>
  <c r="AH54" i="6" s="1"/>
  <c r="Y54" i="6"/>
  <c r="AF54" i="6" s="1"/>
  <c r="V54" i="6"/>
  <c r="AC54" i="6" s="1"/>
  <c r="AB54" i="6"/>
  <c r="AI54" i="6" s="1"/>
  <c r="X54" i="6"/>
  <c r="AE54" i="6" s="1"/>
  <c r="Z54" i="6"/>
  <c r="AG54" i="6" s="1"/>
  <c r="AJ53" i="6"/>
  <c r="M59" i="6"/>
  <c r="N60" i="6"/>
  <c r="L59" i="6"/>
  <c r="R56" i="6"/>
  <c r="S56" i="6"/>
  <c r="B57" i="6" s="1"/>
  <c r="D56" i="6"/>
  <c r="C56" i="11" s="1"/>
  <c r="G56" i="6"/>
  <c r="F56" i="11" s="1"/>
  <c r="E56" i="6"/>
  <c r="D56" i="11" s="1"/>
  <c r="H56" i="6"/>
  <c r="G56" i="11" s="1"/>
  <c r="I56" i="6"/>
  <c r="H56" i="11" s="1"/>
  <c r="F56" i="6"/>
  <c r="E56" i="11" s="1"/>
  <c r="J58" i="6"/>
  <c r="Q57" i="6"/>
  <c r="C57" i="6" s="1"/>
  <c r="K61" i="6"/>
  <c r="O59" i="6"/>
  <c r="I55" i="11"/>
  <c r="P59" i="6"/>
  <c r="C56" i="6"/>
  <c r="K45" i="8"/>
  <c r="L44" i="8"/>
  <c r="N60" i="12" l="1"/>
  <c r="K60" i="12"/>
  <c r="D59" i="12"/>
  <c r="D58" i="12"/>
  <c r="T58" i="12" s="1"/>
  <c r="U58" i="12" s="1"/>
  <c r="P62" i="12"/>
  <c r="J60" i="12"/>
  <c r="Q59" i="12"/>
  <c r="G59" i="12" s="1"/>
  <c r="O61" i="12"/>
  <c r="R58" i="12"/>
  <c r="S58" i="12"/>
  <c r="B59" i="12" s="1"/>
  <c r="I58" i="12"/>
  <c r="H58" i="12"/>
  <c r="M60" i="12"/>
  <c r="E59" i="12"/>
  <c r="L60" i="12"/>
  <c r="F58" i="12"/>
  <c r="E58" i="12"/>
  <c r="Z54" i="12"/>
  <c r="AG54" i="12" s="1"/>
  <c r="Y54" i="12"/>
  <c r="AF54" i="12" s="1"/>
  <c r="X54" i="12"/>
  <c r="AE54" i="12" s="1"/>
  <c r="AA54" i="12"/>
  <c r="AH54" i="12" s="1"/>
  <c r="W54" i="12"/>
  <c r="AD54" i="12" s="1"/>
  <c r="V54" i="12"/>
  <c r="AC54" i="12" s="1"/>
  <c r="AB54" i="12"/>
  <c r="AJ54" i="6"/>
  <c r="W55" i="6"/>
  <c r="AD55" i="6" s="1"/>
  <c r="AA55" i="6"/>
  <c r="AH55" i="6" s="1"/>
  <c r="AB55" i="6"/>
  <c r="AI55" i="6" s="1"/>
  <c r="Y55" i="6"/>
  <c r="AF55" i="6" s="1"/>
  <c r="V55" i="6"/>
  <c r="AC55" i="6" s="1"/>
  <c r="X55" i="6"/>
  <c r="AE55" i="6" s="1"/>
  <c r="Z55" i="6"/>
  <c r="AG55" i="6" s="1"/>
  <c r="R57" i="6"/>
  <c r="S57" i="6"/>
  <c r="B58" i="6" s="1"/>
  <c r="D57" i="6"/>
  <c r="C57" i="11" s="1"/>
  <c r="G57" i="6"/>
  <c r="F57" i="11" s="1"/>
  <c r="F57" i="6"/>
  <c r="E57" i="11" s="1"/>
  <c r="I57" i="6"/>
  <c r="H57" i="11" s="1"/>
  <c r="H57" i="6"/>
  <c r="G57" i="11" s="1"/>
  <c r="E57" i="6"/>
  <c r="D57" i="11" s="1"/>
  <c r="B57" i="11"/>
  <c r="M60" i="6"/>
  <c r="P60" i="6"/>
  <c r="L60" i="6"/>
  <c r="O60" i="6"/>
  <c r="N61" i="6"/>
  <c r="J59" i="6"/>
  <c r="Q58" i="6"/>
  <c r="C58" i="6" s="1"/>
  <c r="B56" i="11"/>
  <c r="I56" i="11" s="1"/>
  <c r="K62" i="6"/>
  <c r="K46" i="8"/>
  <c r="L45" i="8"/>
  <c r="M61" i="12" l="1"/>
  <c r="N61" i="12"/>
  <c r="G60" i="12"/>
  <c r="O62" i="12"/>
  <c r="D60" i="12"/>
  <c r="K61" i="12"/>
  <c r="F59" i="12"/>
  <c r="P63" i="12"/>
  <c r="E60" i="12"/>
  <c r="L61" i="12"/>
  <c r="R59" i="12"/>
  <c r="S59" i="12" s="1"/>
  <c r="B60" i="12" s="1"/>
  <c r="I59" i="12"/>
  <c r="H59" i="12"/>
  <c r="C59" i="12"/>
  <c r="Q60" i="12"/>
  <c r="C60" i="12"/>
  <c r="J61" i="12"/>
  <c r="AA56" i="12"/>
  <c r="AH56" i="12" s="1"/>
  <c r="Z56" i="12"/>
  <c r="AG56" i="12" s="1"/>
  <c r="AB56" i="12"/>
  <c r="V56" i="12"/>
  <c r="AC56" i="12" s="1"/>
  <c r="Y56" i="12"/>
  <c r="AF56" i="12" s="1"/>
  <c r="X56" i="12"/>
  <c r="AE56" i="12" s="1"/>
  <c r="W56" i="12"/>
  <c r="AD56" i="12" s="1"/>
  <c r="W55" i="12"/>
  <c r="AD55" i="12" s="1"/>
  <c r="V55" i="12"/>
  <c r="AC55" i="12" s="1"/>
  <c r="AB55" i="12"/>
  <c r="AA55" i="12"/>
  <c r="AH55" i="12" s="1"/>
  <c r="Z55" i="12"/>
  <c r="AG55" i="12" s="1"/>
  <c r="Y55" i="12"/>
  <c r="AF55" i="12" s="1"/>
  <c r="X55" i="12"/>
  <c r="AE55" i="12" s="1"/>
  <c r="AI54" i="12"/>
  <c r="AJ55" i="6"/>
  <c r="W56" i="6"/>
  <c r="AD56" i="6" s="1"/>
  <c r="AB56" i="6"/>
  <c r="AI56" i="6" s="1"/>
  <c r="AA56" i="6"/>
  <c r="AH56" i="6" s="1"/>
  <c r="Z56" i="6"/>
  <c r="AG56" i="6" s="1"/>
  <c r="Y56" i="6"/>
  <c r="AF56" i="6" s="1"/>
  <c r="V56" i="6"/>
  <c r="AC56" i="6" s="1"/>
  <c r="X56" i="6"/>
  <c r="AE56" i="6" s="1"/>
  <c r="B58" i="11"/>
  <c r="R58" i="6"/>
  <c r="S58" i="6" s="1"/>
  <c r="B59" i="6" s="1"/>
  <c r="D58" i="6"/>
  <c r="C58" i="11" s="1"/>
  <c r="G58" i="6"/>
  <c r="F58" i="11" s="1"/>
  <c r="F58" i="6"/>
  <c r="E58" i="11" s="1"/>
  <c r="H58" i="6"/>
  <c r="G58" i="11" s="1"/>
  <c r="E58" i="6"/>
  <c r="D58" i="11" s="1"/>
  <c r="I58" i="6"/>
  <c r="H58" i="11" s="1"/>
  <c r="J60" i="6"/>
  <c r="Q59" i="6"/>
  <c r="C59" i="6"/>
  <c r="M61" i="6"/>
  <c r="I57" i="11"/>
  <c r="L61" i="6"/>
  <c r="P61" i="6"/>
  <c r="N62" i="6"/>
  <c r="K63" i="6"/>
  <c r="O61" i="6"/>
  <c r="K47" i="8"/>
  <c r="L46" i="8"/>
  <c r="R60" i="12" l="1"/>
  <c r="S60" i="12"/>
  <c r="B61" i="12" s="1"/>
  <c r="I60" i="12"/>
  <c r="H60" i="12"/>
  <c r="N62" i="12"/>
  <c r="K62" i="12"/>
  <c r="L62" i="12"/>
  <c r="O63" i="12"/>
  <c r="J62" i="12"/>
  <c r="Q61" i="12"/>
  <c r="E61" i="12" s="1"/>
  <c r="T60" i="12"/>
  <c r="U60" i="12" s="1"/>
  <c r="T59" i="12"/>
  <c r="U59" i="12" s="1"/>
  <c r="P64" i="12"/>
  <c r="M62" i="12"/>
  <c r="F60" i="12"/>
  <c r="AI55" i="12"/>
  <c r="AI56" i="12"/>
  <c r="AJ56" i="6"/>
  <c r="Z57" i="6"/>
  <c r="AG57" i="6" s="1"/>
  <c r="V57" i="6"/>
  <c r="AC57" i="6" s="1"/>
  <c r="AB57" i="6"/>
  <c r="AI57" i="6" s="1"/>
  <c r="Y57" i="6"/>
  <c r="AF57" i="6" s="1"/>
  <c r="AA57" i="6"/>
  <c r="AH57" i="6" s="1"/>
  <c r="X57" i="6"/>
  <c r="AE57" i="6" s="1"/>
  <c r="W57" i="6"/>
  <c r="AD57" i="6" s="1"/>
  <c r="O62" i="6"/>
  <c r="L62" i="6"/>
  <c r="K64" i="6"/>
  <c r="B59" i="11"/>
  <c r="N63" i="6"/>
  <c r="R59" i="6"/>
  <c r="S59" i="6" s="1"/>
  <c r="B60" i="6" s="1"/>
  <c r="D59" i="6"/>
  <c r="C59" i="11" s="1"/>
  <c r="G59" i="6"/>
  <c r="F59" i="11" s="1"/>
  <c r="H59" i="6"/>
  <c r="G59" i="11" s="1"/>
  <c r="I59" i="6"/>
  <c r="H59" i="11" s="1"/>
  <c r="F59" i="6"/>
  <c r="E59" i="11" s="1"/>
  <c r="E59" i="6"/>
  <c r="D59" i="11" s="1"/>
  <c r="M62" i="6"/>
  <c r="J61" i="6"/>
  <c r="Q60" i="6"/>
  <c r="C60" i="6" s="1"/>
  <c r="P62" i="6"/>
  <c r="I58" i="11"/>
  <c r="K48" i="8"/>
  <c r="L47" i="8"/>
  <c r="K63" i="12" l="1"/>
  <c r="C61" i="12"/>
  <c r="D61" i="12"/>
  <c r="J63" i="12"/>
  <c r="Q62" i="12"/>
  <c r="D62" i="12" s="1"/>
  <c r="N63" i="12"/>
  <c r="M63" i="12"/>
  <c r="F61" i="12"/>
  <c r="O64" i="12"/>
  <c r="P65" i="12"/>
  <c r="R61" i="12"/>
  <c r="S61" i="12"/>
  <c r="B62" i="12" s="1"/>
  <c r="I61" i="12"/>
  <c r="H61" i="12"/>
  <c r="G61" i="12"/>
  <c r="L63" i="12"/>
  <c r="Y57" i="12"/>
  <c r="AF57" i="12" s="1"/>
  <c r="X57" i="12"/>
  <c r="AE57" i="12" s="1"/>
  <c r="W57" i="12"/>
  <c r="AD57" i="12" s="1"/>
  <c r="AB57" i="12"/>
  <c r="V57" i="12"/>
  <c r="AC57" i="12" s="1"/>
  <c r="AA57" i="12"/>
  <c r="AH57" i="12" s="1"/>
  <c r="Z57" i="12"/>
  <c r="AG57" i="12" s="1"/>
  <c r="AJ57" i="6"/>
  <c r="W58" i="6"/>
  <c r="AD58" i="6" s="1"/>
  <c r="Y58" i="6"/>
  <c r="AF58" i="6" s="1"/>
  <c r="X58" i="6"/>
  <c r="AE58" i="6" s="1"/>
  <c r="Z58" i="6"/>
  <c r="AG58" i="6" s="1"/>
  <c r="V58" i="6"/>
  <c r="AC58" i="6" s="1"/>
  <c r="AB58" i="6"/>
  <c r="AI58" i="6" s="1"/>
  <c r="AA58" i="6"/>
  <c r="AH58" i="6" s="1"/>
  <c r="I59" i="11"/>
  <c r="P63" i="6"/>
  <c r="B60" i="11"/>
  <c r="K65" i="6"/>
  <c r="J62" i="6"/>
  <c r="Q61" i="6"/>
  <c r="C61" i="6" s="1"/>
  <c r="R60" i="6"/>
  <c r="S60" i="6" s="1"/>
  <c r="B61" i="6" s="1"/>
  <c r="D60" i="6"/>
  <c r="C60" i="11" s="1"/>
  <c r="G60" i="6"/>
  <c r="F60" i="11" s="1"/>
  <c r="I60" i="6"/>
  <c r="H60" i="11" s="1"/>
  <c r="F60" i="6"/>
  <c r="E60" i="11" s="1"/>
  <c r="H60" i="6"/>
  <c r="G60" i="11" s="1"/>
  <c r="E60" i="6"/>
  <c r="D60" i="11" s="1"/>
  <c r="L63" i="6"/>
  <c r="M63" i="6"/>
  <c r="N64" i="6"/>
  <c r="O63" i="6"/>
  <c r="K49" i="8"/>
  <c r="L48" i="8"/>
  <c r="P66" i="12" l="1"/>
  <c r="C62" i="12"/>
  <c r="N64" i="12"/>
  <c r="E63" i="12"/>
  <c r="L64" i="12"/>
  <c r="E62" i="12"/>
  <c r="O65" i="12"/>
  <c r="T61" i="12"/>
  <c r="U61" i="12" s="1"/>
  <c r="F62" i="12"/>
  <c r="R62" i="12"/>
  <c r="S62" i="12"/>
  <c r="B63" i="12" s="1"/>
  <c r="I62" i="12"/>
  <c r="H62" i="12"/>
  <c r="J64" i="12"/>
  <c r="Q63" i="12"/>
  <c r="F63" i="12" s="1"/>
  <c r="M64" i="12"/>
  <c r="G62" i="12"/>
  <c r="D63" i="12"/>
  <c r="K64" i="12"/>
  <c r="AI57" i="12"/>
  <c r="V58" i="12"/>
  <c r="AC58" i="12" s="1"/>
  <c r="AB58" i="12"/>
  <c r="Y58" i="12"/>
  <c r="AF58" i="12" s="1"/>
  <c r="X58" i="12"/>
  <c r="AE58" i="12" s="1"/>
  <c r="W58" i="12"/>
  <c r="AD58" i="12" s="1"/>
  <c r="Z58" i="12"/>
  <c r="AG58" i="12" s="1"/>
  <c r="AA58" i="12"/>
  <c r="AH58" i="12" s="1"/>
  <c r="AA59" i="12"/>
  <c r="AH59" i="12" s="1"/>
  <c r="Z59" i="12"/>
  <c r="AG59" i="12" s="1"/>
  <c r="Y59" i="12"/>
  <c r="AF59" i="12" s="1"/>
  <c r="X59" i="12"/>
  <c r="AE59" i="12" s="1"/>
  <c r="W59" i="12"/>
  <c r="AD59" i="12" s="1"/>
  <c r="V59" i="12"/>
  <c r="AC59" i="12" s="1"/>
  <c r="AB59" i="12"/>
  <c r="AJ58" i="6"/>
  <c r="W59" i="6"/>
  <c r="AD59" i="6" s="1"/>
  <c r="AB59" i="6"/>
  <c r="AI59" i="6" s="1"/>
  <c r="Y59" i="6"/>
  <c r="AF59" i="6" s="1"/>
  <c r="X59" i="6"/>
  <c r="AE59" i="6" s="1"/>
  <c r="Z59" i="6"/>
  <c r="AG59" i="6" s="1"/>
  <c r="V59" i="6"/>
  <c r="AC59" i="6" s="1"/>
  <c r="AA59" i="6"/>
  <c r="AH59" i="6" s="1"/>
  <c r="B61" i="11"/>
  <c r="O64" i="6"/>
  <c r="N65" i="6"/>
  <c r="I60" i="11"/>
  <c r="L64" i="6"/>
  <c r="P64" i="6"/>
  <c r="J63" i="6"/>
  <c r="Q62" i="6"/>
  <c r="C62" i="6"/>
  <c r="K66" i="6"/>
  <c r="M64" i="6"/>
  <c r="R61" i="6"/>
  <c r="S61" i="6" s="1"/>
  <c r="B62" i="6" s="1"/>
  <c r="D61" i="6"/>
  <c r="C61" i="11" s="1"/>
  <c r="G61" i="6"/>
  <c r="F61" i="11" s="1"/>
  <c r="E61" i="6"/>
  <c r="D61" i="11" s="1"/>
  <c r="I61" i="6"/>
  <c r="H61" i="11" s="1"/>
  <c r="H61" i="6"/>
  <c r="G61" i="11" s="1"/>
  <c r="F61" i="6"/>
  <c r="E61" i="11" s="1"/>
  <c r="K50" i="8"/>
  <c r="L49" i="8"/>
  <c r="M65" i="12" l="1"/>
  <c r="G63" i="12"/>
  <c r="N65" i="12"/>
  <c r="Q64" i="12"/>
  <c r="G64" i="12" s="1"/>
  <c r="J65" i="12"/>
  <c r="P67" i="12"/>
  <c r="K65" i="12"/>
  <c r="L65" i="12"/>
  <c r="R63" i="12"/>
  <c r="S63" i="12" s="1"/>
  <c r="B64" i="12" s="1"/>
  <c r="I63" i="12"/>
  <c r="H63" i="12"/>
  <c r="T62" i="12"/>
  <c r="U62" i="12" s="1"/>
  <c r="C63" i="12"/>
  <c r="T63" i="12" s="1"/>
  <c r="U63" i="12" s="1"/>
  <c r="O66" i="12"/>
  <c r="AI59" i="12"/>
  <c r="AI58" i="12"/>
  <c r="AJ59" i="6"/>
  <c r="W60" i="6"/>
  <c r="AD60" i="6" s="1"/>
  <c r="AA60" i="6"/>
  <c r="AH60" i="6" s="1"/>
  <c r="AB60" i="6"/>
  <c r="AI60" i="6" s="1"/>
  <c r="Y60" i="6"/>
  <c r="AF60" i="6" s="1"/>
  <c r="X60" i="6"/>
  <c r="AE60" i="6" s="1"/>
  <c r="Z60" i="6"/>
  <c r="AG60" i="6" s="1"/>
  <c r="V60" i="6"/>
  <c r="AC60" i="6" s="1"/>
  <c r="I61" i="11"/>
  <c r="B62" i="11"/>
  <c r="R62" i="6"/>
  <c r="S62" i="6" s="1"/>
  <c r="B63" i="6" s="1"/>
  <c r="D62" i="6"/>
  <c r="C62" i="11" s="1"/>
  <c r="G62" i="6"/>
  <c r="F62" i="11" s="1"/>
  <c r="H62" i="6"/>
  <c r="G62" i="11" s="1"/>
  <c r="F62" i="6"/>
  <c r="E62" i="11" s="1"/>
  <c r="I62" i="6"/>
  <c r="H62" i="11" s="1"/>
  <c r="E62" i="6"/>
  <c r="D62" i="11" s="1"/>
  <c r="J64" i="6"/>
  <c r="Q63" i="6"/>
  <c r="C63" i="6" s="1"/>
  <c r="P65" i="6"/>
  <c r="O65" i="6"/>
  <c r="K67" i="6"/>
  <c r="N66" i="6"/>
  <c r="M65" i="6"/>
  <c r="L65" i="6"/>
  <c r="K51" i="8"/>
  <c r="L50" i="8"/>
  <c r="J66" i="12" l="1"/>
  <c r="Q65" i="12"/>
  <c r="C65" i="12" s="1"/>
  <c r="O67" i="12"/>
  <c r="C64" i="12"/>
  <c r="T64" i="12" s="1"/>
  <c r="U64" i="12" s="1"/>
  <c r="K66" i="12"/>
  <c r="D65" i="12"/>
  <c r="N66" i="12"/>
  <c r="R64" i="12"/>
  <c r="S64" i="12"/>
  <c r="B65" i="12" s="1"/>
  <c r="I64" i="12"/>
  <c r="H64" i="12"/>
  <c r="L66" i="12"/>
  <c r="E65" i="12"/>
  <c r="E64" i="12"/>
  <c r="D64" i="12"/>
  <c r="F65" i="12"/>
  <c r="M66" i="12"/>
  <c r="P68" i="12"/>
  <c r="F64" i="12"/>
  <c r="X60" i="12"/>
  <c r="AE60" i="12" s="1"/>
  <c r="W60" i="12"/>
  <c r="AD60" i="12" s="1"/>
  <c r="V60" i="12"/>
  <c r="AC60" i="12" s="1"/>
  <c r="AA60" i="12"/>
  <c r="AH60" i="12" s="1"/>
  <c r="Z60" i="12"/>
  <c r="AG60" i="12" s="1"/>
  <c r="Y60" i="12"/>
  <c r="AF60" i="12" s="1"/>
  <c r="AB60" i="12"/>
  <c r="AJ60" i="6"/>
  <c r="W61" i="6"/>
  <c r="AD61" i="6" s="1"/>
  <c r="AA61" i="6"/>
  <c r="AH61" i="6" s="1"/>
  <c r="AB61" i="6"/>
  <c r="AI61" i="6" s="1"/>
  <c r="Z61" i="6"/>
  <c r="AG61" i="6" s="1"/>
  <c r="X61" i="6"/>
  <c r="AE61" i="6" s="1"/>
  <c r="Y61" i="6"/>
  <c r="AF61" i="6" s="1"/>
  <c r="V61" i="6"/>
  <c r="AC61" i="6" s="1"/>
  <c r="K68" i="6"/>
  <c r="M66" i="6"/>
  <c r="P66" i="6"/>
  <c r="B63" i="11"/>
  <c r="I62" i="11"/>
  <c r="L66" i="6"/>
  <c r="O66" i="6"/>
  <c r="N67" i="6"/>
  <c r="R63" i="6"/>
  <c r="S63" i="6" s="1"/>
  <c r="B64" i="6" s="1"/>
  <c r="D63" i="6"/>
  <c r="C63" i="11" s="1"/>
  <c r="G63" i="6"/>
  <c r="F63" i="11" s="1"/>
  <c r="E63" i="6"/>
  <c r="D63" i="11" s="1"/>
  <c r="H63" i="6"/>
  <c r="G63" i="11" s="1"/>
  <c r="F63" i="6"/>
  <c r="E63" i="11" s="1"/>
  <c r="I63" i="6"/>
  <c r="H63" i="11" s="1"/>
  <c r="J65" i="6"/>
  <c r="Q64" i="6"/>
  <c r="C64" i="6" s="1"/>
  <c r="K52" i="8"/>
  <c r="L51" i="8"/>
  <c r="L67" i="12" l="1"/>
  <c r="K67" i="12"/>
  <c r="M67" i="12"/>
  <c r="F66" i="12"/>
  <c r="O68" i="12"/>
  <c r="N67" i="12"/>
  <c r="P69" i="12"/>
  <c r="R65" i="12"/>
  <c r="S65" i="12" s="1"/>
  <c r="B66" i="12" s="1"/>
  <c r="I65" i="12"/>
  <c r="H65" i="12"/>
  <c r="G65" i="12"/>
  <c r="T65" i="12" s="1"/>
  <c r="U65" i="12" s="1"/>
  <c r="Q66" i="12"/>
  <c r="J67" i="12"/>
  <c r="X61" i="12"/>
  <c r="AE61" i="12" s="1"/>
  <c r="Z61" i="12"/>
  <c r="AG61" i="12" s="1"/>
  <c r="AB61" i="12"/>
  <c r="V61" i="12"/>
  <c r="AC61" i="12" s="1"/>
  <c r="W61" i="12"/>
  <c r="AD61" i="12" s="1"/>
  <c r="Y61" i="12"/>
  <c r="AF61" i="12" s="1"/>
  <c r="AA61" i="12"/>
  <c r="AH61" i="12" s="1"/>
  <c r="AI60" i="12"/>
  <c r="W62" i="6"/>
  <c r="AD62" i="6" s="1"/>
  <c r="AA62" i="6"/>
  <c r="AH62" i="6" s="1"/>
  <c r="Z62" i="6"/>
  <c r="AG62" i="6" s="1"/>
  <c r="X62" i="6"/>
  <c r="AE62" i="6" s="1"/>
  <c r="AB62" i="6"/>
  <c r="AI62" i="6" s="1"/>
  <c r="Y62" i="6"/>
  <c r="AF62" i="6" s="1"/>
  <c r="V62" i="6"/>
  <c r="AC62" i="6" s="1"/>
  <c r="AJ61" i="6"/>
  <c r="I63" i="11"/>
  <c r="B64" i="11"/>
  <c r="K69" i="6"/>
  <c r="J66" i="6"/>
  <c r="Q65" i="6"/>
  <c r="C65" i="6"/>
  <c r="N68" i="6"/>
  <c r="O67" i="6"/>
  <c r="M67" i="6"/>
  <c r="R64" i="6"/>
  <c r="S64" i="6" s="1"/>
  <c r="B65" i="6" s="1"/>
  <c r="D64" i="6"/>
  <c r="C64" i="11" s="1"/>
  <c r="G64" i="6"/>
  <c r="F64" i="11" s="1"/>
  <c r="I64" i="6"/>
  <c r="H64" i="11" s="1"/>
  <c r="F64" i="6"/>
  <c r="E64" i="11" s="1"/>
  <c r="H64" i="6"/>
  <c r="G64" i="11" s="1"/>
  <c r="E64" i="6"/>
  <c r="D64" i="11" s="1"/>
  <c r="P67" i="6"/>
  <c r="L67" i="6"/>
  <c r="K53" i="8"/>
  <c r="L52" i="8"/>
  <c r="M68" i="12" l="1"/>
  <c r="J68" i="12"/>
  <c r="Q67" i="12"/>
  <c r="G67" i="12" s="1"/>
  <c r="K68" i="12"/>
  <c r="R66" i="12"/>
  <c r="S66" i="12" s="1"/>
  <c r="B67" i="12" s="1"/>
  <c r="I66" i="12"/>
  <c r="H66" i="12"/>
  <c r="P70" i="12"/>
  <c r="D66" i="12"/>
  <c r="C66" i="12"/>
  <c r="G66" i="12"/>
  <c r="L68" i="12"/>
  <c r="N68" i="12"/>
  <c r="E66" i="12"/>
  <c r="O69" i="12"/>
  <c r="AB62" i="12"/>
  <c r="W62" i="12"/>
  <c r="AD62" i="12" s="1"/>
  <c r="AA62" i="12"/>
  <c r="AH62" i="12" s="1"/>
  <c r="Z62" i="12"/>
  <c r="AG62" i="12" s="1"/>
  <c r="V62" i="12"/>
  <c r="AC62" i="12" s="1"/>
  <c r="Y62" i="12"/>
  <c r="AF62" i="12" s="1"/>
  <c r="X62" i="12"/>
  <c r="AE62" i="12" s="1"/>
  <c r="Z63" i="12"/>
  <c r="AG63" i="12" s="1"/>
  <c r="Y63" i="12"/>
  <c r="AF63" i="12" s="1"/>
  <c r="X63" i="12"/>
  <c r="AE63" i="12" s="1"/>
  <c r="W63" i="12"/>
  <c r="AD63" i="12" s="1"/>
  <c r="AA63" i="12"/>
  <c r="AH63" i="12" s="1"/>
  <c r="V63" i="12"/>
  <c r="AC63" i="12" s="1"/>
  <c r="AB63" i="12"/>
  <c r="AI61" i="12"/>
  <c r="AJ62" i="6"/>
  <c r="W63" i="6"/>
  <c r="AD63" i="6" s="1"/>
  <c r="AA63" i="6"/>
  <c r="AH63" i="6" s="1"/>
  <c r="Z63" i="6"/>
  <c r="AG63" i="6" s="1"/>
  <c r="X63" i="6"/>
  <c r="AE63" i="6" s="1"/>
  <c r="AB63" i="6"/>
  <c r="AI63" i="6" s="1"/>
  <c r="Y63" i="6"/>
  <c r="AF63" i="6" s="1"/>
  <c r="V63" i="6"/>
  <c r="AC63" i="6" s="1"/>
  <c r="R65" i="6"/>
  <c r="S65" i="6" s="1"/>
  <c r="B66" i="6" s="1"/>
  <c r="D65" i="6"/>
  <c r="C65" i="11" s="1"/>
  <c r="G65" i="6"/>
  <c r="F65" i="11" s="1"/>
  <c r="E65" i="6"/>
  <c r="D65" i="11" s="1"/>
  <c r="F65" i="6"/>
  <c r="E65" i="11" s="1"/>
  <c r="H65" i="6"/>
  <c r="G65" i="11" s="1"/>
  <c r="I65" i="6"/>
  <c r="H65" i="11" s="1"/>
  <c r="P68" i="6"/>
  <c r="M68" i="6"/>
  <c r="O68" i="6"/>
  <c r="K70" i="6"/>
  <c r="I64" i="11"/>
  <c r="N69" i="6"/>
  <c r="B65" i="11"/>
  <c r="J67" i="6"/>
  <c r="Q66" i="6"/>
  <c r="L68" i="6"/>
  <c r="K54" i="8"/>
  <c r="L53" i="8"/>
  <c r="I65" i="11" l="1"/>
  <c r="K69" i="12"/>
  <c r="T66" i="12"/>
  <c r="U66" i="12" s="1"/>
  <c r="D67" i="12"/>
  <c r="O70" i="12"/>
  <c r="C68" i="12"/>
  <c r="J69" i="12"/>
  <c r="Q68" i="12"/>
  <c r="R67" i="12"/>
  <c r="S67" i="12"/>
  <c r="B68" i="12" s="1"/>
  <c r="I67" i="12"/>
  <c r="H67" i="12"/>
  <c r="N69" i="12"/>
  <c r="G68" i="12"/>
  <c r="C67" i="12"/>
  <c r="T67" i="12" s="1"/>
  <c r="U67" i="12" s="1"/>
  <c r="E67" i="12"/>
  <c r="M69" i="12"/>
  <c r="F68" i="12"/>
  <c r="P71" i="12"/>
  <c r="L69" i="12"/>
  <c r="E68" i="12"/>
  <c r="F67" i="12"/>
  <c r="AI63" i="12"/>
  <c r="AI62" i="12"/>
  <c r="AJ63" i="6"/>
  <c r="W64" i="6"/>
  <c r="AD64" i="6" s="1"/>
  <c r="AA64" i="6"/>
  <c r="AH64" i="6" s="1"/>
  <c r="Z64" i="6"/>
  <c r="AG64" i="6" s="1"/>
  <c r="V64" i="6"/>
  <c r="AC64" i="6" s="1"/>
  <c r="X64" i="6"/>
  <c r="AE64" i="6" s="1"/>
  <c r="AB64" i="6"/>
  <c r="AI64" i="6" s="1"/>
  <c r="Y64" i="6"/>
  <c r="AF64" i="6" s="1"/>
  <c r="R66" i="6"/>
  <c r="S66" i="6" s="1"/>
  <c r="B67" i="6" s="1"/>
  <c r="D66" i="6"/>
  <c r="C66" i="11" s="1"/>
  <c r="G66" i="6"/>
  <c r="F66" i="11" s="1"/>
  <c r="I66" i="6"/>
  <c r="H66" i="11" s="1"/>
  <c r="E66" i="6"/>
  <c r="D66" i="11" s="1"/>
  <c r="H66" i="6"/>
  <c r="G66" i="11" s="1"/>
  <c r="F66" i="6"/>
  <c r="E66" i="11" s="1"/>
  <c r="J68" i="6"/>
  <c r="Q67" i="6"/>
  <c r="C67" i="6" s="1"/>
  <c r="K71" i="6"/>
  <c r="L69" i="6"/>
  <c r="N70" i="6"/>
  <c r="O69" i="6"/>
  <c r="M69" i="6"/>
  <c r="C66" i="6"/>
  <c r="P69" i="6"/>
  <c r="K55" i="8"/>
  <c r="L54" i="8"/>
  <c r="J70" i="12" l="1"/>
  <c r="Q69" i="12"/>
  <c r="G69" i="12"/>
  <c r="N70" i="12"/>
  <c r="O71" i="12"/>
  <c r="P72" i="12"/>
  <c r="L70" i="12"/>
  <c r="E69" i="12"/>
  <c r="F69" i="12"/>
  <c r="M70" i="12"/>
  <c r="K70" i="12"/>
  <c r="D69" i="12"/>
  <c r="R68" i="12"/>
  <c r="S68" i="12"/>
  <c r="B69" i="12" s="1"/>
  <c r="I68" i="12"/>
  <c r="H68" i="12"/>
  <c r="D68" i="12"/>
  <c r="T68" i="12" s="1"/>
  <c r="U68" i="12" s="1"/>
  <c r="W64" i="12"/>
  <c r="AD64" i="12" s="1"/>
  <c r="Y64" i="12"/>
  <c r="AF64" i="12" s="1"/>
  <c r="AB64" i="12"/>
  <c r="AA64" i="12"/>
  <c r="AH64" i="12" s="1"/>
  <c r="Z64" i="12"/>
  <c r="AG64" i="12" s="1"/>
  <c r="X64" i="12"/>
  <c r="AE64" i="12" s="1"/>
  <c r="V64" i="12"/>
  <c r="AC64" i="12" s="1"/>
  <c r="W65" i="6"/>
  <c r="AD65" i="6" s="1"/>
  <c r="AA65" i="6"/>
  <c r="AH65" i="6" s="1"/>
  <c r="Z65" i="6"/>
  <c r="AG65" i="6" s="1"/>
  <c r="V65" i="6"/>
  <c r="AC65" i="6" s="1"/>
  <c r="Y65" i="6"/>
  <c r="AF65" i="6" s="1"/>
  <c r="X65" i="6"/>
  <c r="AE65" i="6" s="1"/>
  <c r="AB65" i="6"/>
  <c r="AI65" i="6" s="1"/>
  <c r="AJ64" i="6"/>
  <c r="P70" i="6"/>
  <c r="N71" i="6"/>
  <c r="B66" i="11"/>
  <c r="I66" i="11" s="1"/>
  <c r="L70" i="6"/>
  <c r="B67" i="11"/>
  <c r="O70" i="6"/>
  <c r="R67" i="6"/>
  <c r="S67" i="6" s="1"/>
  <c r="B68" i="6" s="1"/>
  <c r="D67" i="6"/>
  <c r="C67" i="11" s="1"/>
  <c r="G67" i="6"/>
  <c r="F67" i="11" s="1"/>
  <c r="E67" i="6"/>
  <c r="D67" i="11" s="1"/>
  <c r="H67" i="6"/>
  <c r="G67" i="11" s="1"/>
  <c r="I67" i="6"/>
  <c r="H67" i="11" s="1"/>
  <c r="F67" i="6"/>
  <c r="E67" i="11" s="1"/>
  <c r="M70" i="6"/>
  <c r="K72" i="6"/>
  <c r="J69" i="6"/>
  <c r="Q68" i="6"/>
  <c r="K56" i="8"/>
  <c r="L55" i="8"/>
  <c r="K71" i="12" l="1"/>
  <c r="O72" i="12"/>
  <c r="M71" i="12"/>
  <c r="F70" i="12"/>
  <c r="N71" i="12"/>
  <c r="G70" i="12"/>
  <c r="L71" i="12"/>
  <c r="R69" i="12"/>
  <c r="S69" i="12"/>
  <c r="B70" i="12" s="1"/>
  <c r="I69" i="12"/>
  <c r="H69" i="12"/>
  <c r="C69" i="12"/>
  <c r="T69" i="12" s="1"/>
  <c r="U69" i="12" s="1"/>
  <c r="P73" i="12"/>
  <c r="Q70" i="12"/>
  <c r="J71" i="12"/>
  <c r="V65" i="12"/>
  <c r="AC65" i="12" s="1"/>
  <c r="AA65" i="12"/>
  <c r="AH65" i="12" s="1"/>
  <c r="Z65" i="12"/>
  <c r="AG65" i="12" s="1"/>
  <c r="Y65" i="12"/>
  <c r="AF65" i="12" s="1"/>
  <c r="X65" i="12"/>
  <c r="AE65" i="12" s="1"/>
  <c r="W65" i="12"/>
  <c r="AD65" i="12" s="1"/>
  <c r="AB65" i="12"/>
  <c r="AI64" i="12"/>
  <c r="W66" i="6"/>
  <c r="AD66" i="6" s="1"/>
  <c r="Y66" i="6"/>
  <c r="AF66" i="6" s="1"/>
  <c r="X66" i="6"/>
  <c r="AE66" i="6" s="1"/>
  <c r="AA66" i="6"/>
  <c r="AH66" i="6" s="1"/>
  <c r="Z66" i="6"/>
  <c r="AG66" i="6" s="1"/>
  <c r="V66" i="6"/>
  <c r="AC66" i="6" s="1"/>
  <c r="AB66" i="6"/>
  <c r="AI66" i="6" s="1"/>
  <c r="AJ65" i="6"/>
  <c r="J70" i="6"/>
  <c r="Q69" i="6"/>
  <c r="C69" i="6"/>
  <c r="K73" i="6"/>
  <c r="M71" i="6"/>
  <c r="O71" i="6"/>
  <c r="I67" i="11"/>
  <c r="R68" i="6"/>
  <c r="S68" i="6" s="1"/>
  <c r="B69" i="6" s="1"/>
  <c r="D68" i="6"/>
  <c r="C68" i="11" s="1"/>
  <c r="G68" i="6"/>
  <c r="F68" i="11" s="1"/>
  <c r="H68" i="6"/>
  <c r="G68" i="11" s="1"/>
  <c r="F68" i="6"/>
  <c r="E68" i="11" s="1"/>
  <c r="E68" i="6"/>
  <c r="D68" i="11" s="1"/>
  <c r="I68" i="6"/>
  <c r="H68" i="11" s="1"/>
  <c r="L71" i="6"/>
  <c r="N72" i="6"/>
  <c r="C68" i="6"/>
  <c r="P71" i="6"/>
  <c r="K57" i="8"/>
  <c r="L56" i="8"/>
  <c r="R70" i="12" l="1"/>
  <c r="S70" i="12" s="1"/>
  <c r="B71" i="12" s="1"/>
  <c r="I70" i="12"/>
  <c r="H70" i="12"/>
  <c r="P74" i="12"/>
  <c r="J72" i="12"/>
  <c r="C71" i="12"/>
  <c r="Q71" i="12"/>
  <c r="C70" i="12"/>
  <c r="G71" i="12"/>
  <c r="N72" i="12"/>
  <c r="F71" i="12"/>
  <c r="M72" i="12"/>
  <c r="O73" i="12"/>
  <c r="E70" i="12"/>
  <c r="K72" i="12"/>
  <c r="D71" i="12"/>
  <c r="L72" i="12"/>
  <c r="E71" i="12"/>
  <c r="D70" i="12"/>
  <c r="Y66" i="12"/>
  <c r="AF66" i="12" s="1"/>
  <c r="AA66" i="12"/>
  <c r="AH66" i="12" s="1"/>
  <c r="X66" i="12"/>
  <c r="AE66" i="12" s="1"/>
  <c r="W66" i="12"/>
  <c r="AD66" i="12" s="1"/>
  <c r="V66" i="12"/>
  <c r="AC66" i="12" s="1"/>
  <c r="Z66" i="12"/>
  <c r="AG66" i="12" s="1"/>
  <c r="AB66" i="12"/>
  <c r="AI65" i="12"/>
  <c r="W67" i="6"/>
  <c r="AD67" i="6" s="1"/>
  <c r="AB67" i="6"/>
  <c r="AI67" i="6" s="1"/>
  <c r="Y67" i="6"/>
  <c r="AF67" i="6" s="1"/>
  <c r="X67" i="6"/>
  <c r="AE67" i="6" s="1"/>
  <c r="AA67" i="6"/>
  <c r="AH67" i="6" s="1"/>
  <c r="Z67" i="6"/>
  <c r="AG67" i="6" s="1"/>
  <c r="V67" i="6"/>
  <c r="AC67" i="6" s="1"/>
  <c r="AJ66" i="6"/>
  <c r="P72" i="6"/>
  <c r="O72" i="6"/>
  <c r="B68" i="11"/>
  <c r="I68" i="11" s="1"/>
  <c r="M72" i="6"/>
  <c r="K74" i="6"/>
  <c r="L72" i="6"/>
  <c r="B69" i="11"/>
  <c r="R69" i="6"/>
  <c r="S69" i="6" s="1"/>
  <c r="B70" i="6" s="1"/>
  <c r="D69" i="6"/>
  <c r="C69" i="11" s="1"/>
  <c r="G69" i="6"/>
  <c r="F69" i="11" s="1"/>
  <c r="F69" i="6"/>
  <c r="E69" i="11" s="1"/>
  <c r="E69" i="6"/>
  <c r="D69" i="11" s="1"/>
  <c r="I69" i="6"/>
  <c r="H69" i="11" s="1"/>
  <c r="H69" i="6"/>
  <c r="G69" i="11" s="1"/>
  <c r="N73" i="6"/>
  <c r="J71" i="6"/>
  <c r="Q70" i="6"/>
  <c r="K58" i="8"/>
  <c r="L57" i="8"/>
  <c r="O74" i="12" l="1"/>
  <c r="Q72" i="12"/>
  <c r="C72" i="12" s="1"/>
  <c r="J73" i="12"/>
  <c r="P75" i="12"/>
  <c r="L73" i="12"/>
  <c r="N73" i="12"/>
  <c r="K73" i="12"/>
  <c r="T70" i="12"/>
  <c r="U70" i="12" s="1"/>
  <c r="F72" i="12"/>
  <c r="M73" i="12"/>
  <c r="R71" i="12"/>
  <c r="S71" i="12" s="1"/>
  <c r="B72" i="12" s="1"/>
  <c r="I71" i="12"/>
  <c r="H71" i="12"/>
  <c r="T71" i="12" s="1"/>
  <c r="U71" i="12" s="1"/>
  <c r="AA68" i="12"/>
  <c r="AH68" i="12" s="1"/>
  <c r="AB68" i="12"/>
  <c r="Z68" i="12"/>
  <c r="AG68" i="12" s="1"/>
  <c r="V68" i="12"/>
  <c r="AC68" i="12" s="1"/>
  <c r="W68" i="12"/>
  <c r="AD68" i="12" s="1"/>
  <c r="X68" i="12"/>
  <c r="AE68" i="12" s="1"/>
  <c r="Y68" i="12"/>
  <c r="AF68" i="12" s="1"/>
  <c r="V67" i="12"/>
  <c r="AC67" i="12" s="1"/>
  <c r="X67" i="12"/>
  <c r="AE67" i="12" s="1"/>
  <c r="AB67" i="12"/>
  <c r="W67" i="12"/>
  <c r="AD67" i="12" s="1"/>
  <c r="Y67" i="12"/>
  <c r="AF67" i="12" s="1"/>
  <c r="AA67" i="12"/>
  <c r="AH67" i="12" s="1"/>
  <c r="Z67" i="12"/>
  <c r="AG67" i="12" s="1"/>
  <c r="AI66" i="12"/>
  <c r="AA68" i="6"/>
  <c r="AH68" i="6" s="1"/>
  <c r="W68" i="6"/>
  <c r="AD68" i="6" s="1"/>
  <c r="AB68" i="6"/>
  <c r="AI68" i="6" s="1"/>
  <c r="Y68" i="6"/>
  <c r="AF68" i="6" s="1"/>
  <c r="X68" i="6"/>
  <c r="AE68" i="6" s="1"/>
  <c r="V68" i="6"/>
  <c r="AC68" i="6" s="1"/>
  <c r="Z68" i="6"/>
  <c r="AG68" i="6" s="1"/>
  <c r="AJ67" i="6"/>
  <c r="R70" i="6"/>
  <c r="S70" i="6" s="1"/>
  <c r="B71" i="6" s="1"/>
  <c r="D70" i="6"/>
  <c r="C70" i="11" s="1"/>
  <c r="G70" i="6"/>
  <c r="F70" i="11" s="1"/>
  <c r="H70" i="6"/>
  <c r="G70" i="11" s="1"/>
  <c r="I70" i="6"/>
  <c r="H70" i="11" s="1"/>
  <c r="E70" i="6"/>
  <c r="D70" i="11" s="1"/>
  <c r="F70" i="6"/>
  <c r="E70" i="11" s="1"/>
  <c r="K75" i="6"/>
  <c r="J72" i="6"/>
  <c r="Q71" i="6"/>
  <c r="C71" i="6" s="1"/>
  <c r="M73" i="6"/>
  <c r="N74" i="6"/>
  <c r="I69" i="11"/>
  <c r="O73" i="6"/>
  <c r="L73" i="6"/>
  <c r="C70" i="6"/>
  <c r="P73" i="6"/>
  <c r="K59" i="8"/>
  <c r="L58" i="8"/>
  <c r="G72" i="12" l="1"/>
  <c r="P76" i="12"/>
  <c r="R72" i="12"/>
  <c r="S72" i="12"/>
  <c r="B73" i="12" s="1"/>
  <c r="I72" i="12"/>
  <c r="H72" i="12"/>
  <c r="N74" i="12"/>
  <c r="AI67" i="12"/>
  <c r="J74" i="12"/>
  <c r="Q73" i="12"/>
  <c r="C73" i="12"/>
  <c r="D73" i="12"/>
  <c r="K74" i="12"/>
  <c r="D72" i="12"/>
  <c r="T72" i="12" s="1"/>
  <c r="U72" i="12" s="1"/>
  <c r="L74" i="12"/>
  <c r="O75" i="12"/>
  <c r="F73" i="12"/>
  <c r="M74" i="12"/>
  <c r="E72" i="12"/>
  <c r="AI68" i="12"/>
  <c r="AJ68" i="6"/>
  <c r="W69" i="6"/>
  <c r="AD69" i="6" s="1"/>
  <c r="AA69" i="6"/>
  <c r="AH69" i="6" s="1"/>
  <c r="AB69" i="6"/>
  <c r="AI69" i="6" s="1"/>
  <c r="Y69" i="6"/>
  <c r="AF69" i="6" s="1"/>
  <c r="V69" i="6"/>
  <c r="AC69" i="6" s="1"/>
  <c r="Z69" i="6"/>
  <c r="AG69" i="6" s="1"/>
  <c r="X69" i="6"/>
  <c r="AE69" i="6" s="1"/>
  <c r="R71" i="6"/>
  <c r="S71" i="6" s="1"/>
  <c r="B72" i="6" s="1"/>
  <c r="D71" i="6"/>
  <c r="C71" i="11" s="1"/>
  <c r="G71" i="6"/>
  <c r="F71" i="11" s="1"/>
  <c r="I71" i="6"/>
  <c r="H71" i="11" s="1"/>
  <c r="E71" i="6"/>
  <c r="D71" i="11" s="1"/>
  <c r="H71" i="6"/>
  <c r="G71" i="11" s="1"/>
  <c r="F71" i="6"/>
  <c r="E71" i="11" s="1"/>
  <c r="J73" i="6"/>
  <c r="Q72" i="6"/>
  <c r="C72" i="6"/>
  <c r="K76" i="6"/>
  <c r="P74" i="6"/>
  <c r="N75" i="6"/>
  <c r="B70" i="11"/>
  <c r="I70" i="11" s="1"/>
  <c r="M74" i="6"/>
  <c r="L74" i="6"/>
  <c r="B71" i="11"/>
  <c r="O74" i="6"/>
  <c r="K60" i="8"/>
  <c r="L59" i="8"/>
  <c r="R73" i="12" l="1"/>
  <c r="S73" i="12"/>
  <c r="B74" i="12" s="1"/>
  <c r="I73" i="12"/>
  <c r="H73" i="12"/>
  <c r="O76" i="12"/>
  <c r="C74" i="12"/>
  <c r="J75" i="12"/>
  <c r="Q74" i="12"/>
  <c r="E73" i="12"/>
  <c r="N75" i="12"/>
  <c r="G74" i="12"/>
  <c r="D74" i="12"/>
  <c r="K75" i="12"/>
  <c r="F74" i="12"/>
  <c r="M75" i="12"/>
  <c r="E74" i="12"/>
  <c r="L75" i="12"/>
  <c r="P77" i="12"/>
  <c r="G73" i="12"/>
  <c r="T73" i="12" s="1"/>
  <c r="U73" i="12" s="1"/>
  <c r="V70" i="12"/>
  <c r="AC70" i="12" s="1"/>
  <c r="AB70" i="12"/>
  <c r="W70" i="12"/>
  <c r="AD70" i="12" s="1"/>
  <c r="AA70" i="12"/>
  <c r="AH70" i="12" s="1"/>
  <c r="Z70" i="12"/>
  <c r="AG70" i="12" s="1"/>
  <c r="Y70" i="12"/>
  <c r="AF70" i="12" s="1"/>
  <c r="X70" i="12"/>
  <c r="AE70" i="12" s="1"/>
  <c r="Y69" i="12"/>
  <c r="AF69" i="12" s="1"/>
  <c r="X69" i="12"/>
  <c r="AE69" i="12" s="1"/>
  <c r="Z69" i="12"/>
  <c r="AG69" i="12" s="1"/>
  <c r="AA69" i="12"/>
  <c r="AH69" i="12" s="1"/>
  <c r="W69" i="12"/>
  <c r="AD69" i="12" s="1"/>
  <c r="AB69" i="12"/>
  <c r="V69" i="12"/>
  <c r="AC69" i="12" s="1"/>
  <c r="W70" i="6"/>
  <c r="AD70" i="6" s="1"/>
  <c r="AA70" i="6"/>
  <c r="AH70" i="6" s="1"/>
  <c r="AB70" i="6"/>
  <c r="AI70" i="6" s="1"/>
  <c r="Y70" i="6"/>
  <c r="AF70" i="6" s="1"/>
  <c r="V70" i="6"/>
  <c r="AC70" i="6" s="1"/>
  <c r="Z70" i="6"/>
  <c r="AG70" i="6" s="1"/>
  <c r="X70" i="6"/>
  <c r="AE70" i="6" s="1"/>
  <c r="AJ69" i="6"/>
  <c r="I71" i="11"/>
  <c r="L75" i="6"/>
  <c r="P75" i="6"/>
  <c r="K77" i="6"/>
  <c r="B72" i="11"/>
  <c r="J74" i="6"/>
  <c r="Q73" i="6"/>
  <c r="C73" i="6" s="1"/>
  <c r="N76" i="6"/>
  <c r="M75" i="6"/>
  <c r="O75" i="6"/>
  <c r="R72" i="6"/>
  <c r="S72" i="6" s="1"/>
  <c r="B73" i="6" s="1"/>
  <c r="D72" i="6"/>
  <c r="C72" i="11" s="1"/>
  <c r="G72" i="6"/>
  <c r="F72" i="11" s="1"/>
  <c r="E72" i="6"/>
  <c r="D72" i="11" s="1"/>
  <c r="F72" i="6"/>
  <c r="E72" i="11" s="1"/>
  <c r="I72" i="6"/>
  <c r="H72" i="11" s="1"/>
  <c r="H72" i="6"/>
  <c r="G72" i="11" s="1"/>
  <c r="K61" i="8"/>
  <c r="L60" i="8"/>
  <c r="O77" i="12" l="1"/>
  <c r="M76" i="12"/>
  <c r="J76" i="12"/>
  <c r="Q75" i="12"/>
  <c r="E75" i="12" s="1"/>
  <c r="T74" i="12"/>
  <c r="U74" i="12" s="1"/>
  <c r="L76" i="12"/>
  <c r="K76" i="12"/>
  <c r="P78" i="12"/>
  <c r="G75" i="12"/>
  <c r="N76" i="12"/>
  <c r="R74" i="12"/>
  <c r="S74" i="12"/>
  <c r="B75" i="12" s="1"/>
  <c r="I74" i="12"/>
  <c r="H74" i="12"/>
  <c r="AI70" i="12"/>
  <c r="AI69" i="12"/>
  <c r="AJ70" i="6"/>
  <c r="W71" i="6"/>
  <c r="AD71" i="6" s="1"/>
  <c r="AB71" i="6"/>
  <c r="AI71" i="6" s="1"/>
  <c r="X71" i="6"/>
  <c r="AE71" i="6" s="1"/>
  <c r="Y71" i="6"/>
  <c r="AF71" i="6" s="1"/>
  <c r="AA71" i="6"/>
  <c r="AH71" i="6" s="1"/>
  <c r="V71" i="6"/>
  <c r="AC71" i="6" s="1"/>
  <c r="Z71" i="6"/>
  <c r="AG71" i="6" s="1"/>
  <c r="I72" i="11"/>
  <c r="L76" i="6"/>
  <c r="M76" i="6"/>
  <c r="K78" i="6"/>
  <c r="B73" i="11"/>
  <c r="P76" i="6"/>
  <c r="J75" i="6"/>
  <c r="Q74" i="6"/>
  <c r="C74" i="6" s="1"/>
  <c r="O76" i="6"/>
  <c r="N77" i="6"/>
  <c r="R73" i="6"/>
  <c r="S73" i="6" s="1"/>
  <c r="B74" i="6" s="1"/>
  <c r="D73" i="6"/>
  <c r="C73" i="11" s="1"/>
  <c r="G73" i="6"/>
  <c r="F73" i="11" s="1"/>
  <c r="H73" i="6"/>
  <c r="G73" i="11" s="1"/>
  <c r="I73" i="6"/>
  <c r="H73" i="11" s="1"/>
  <c r="F73" i="6"/>
  <c r="E73" i="11" s="1"/>
  <c r="E73" i="6"/>
  <c r="D73" i="11" s="1"/>
  <c r="K62" i="8"/>
  <c r="L61" i="8"/>
  <c r="N77" i="12" l="1"/>
  <c r="P79" i="12"/>
  <c r="C75" i="12"/>
  <c r="T75" i="12" s="1"/>
  <c r="U75" i="12" s="1"/>
  <c r="J77" i="12"/>
  <c r="Q76" i="12"/>
  <c r="D75" i="12"/>
  <c r="F75" i="12"/>
  <c r="R75" i="12"/>
  <c r="S75" i="12"/>
  <c r="B76" i="12" s="1"/>
  <c r="I75" i="12"/>
  <c r="H75" i="12"/>
  <c r="M77" i="12"/>
  <c r="K77" i="12"/>
  <c r="L77" i="12"/>
  <c r="O78" i="12"/>
  <c r="AA71" i="12"/>
  <c r="AH71" i="12" s="1"/>
  <c r="Z71" i="12"/>
  <c r="AG71" i="12" s="1"/>
  <c r="Y71" i="12"/>
  <c r="AF71" i="12" s="1"/>
  <c r="AB71" i="12"/>
  <c r="V71" i="12"/>
  <c r="AC71" i="12" s="1"/>
  <c r="X71" i="12"/>
  <c r="AE71" i="12" s="1"/>
  <c r="W71" i="12"/>
  <c r="AD71" i="12" s="1"/>
  <c r="W72" i="6"/>
  <c r="AD72" i="6" s="1"/>
  <c r="AB72" i="6"/>
  <c r="AI72" i="6" s="1"/>
  <c r="Z72" i="6"/>
  <c r="AG72" i="6" s="1"/>
  <c r="X72" i="6"/>
  <c r="AE72" i="6" s="1"/>
  <c r="Y72" i="6"/>
  <c r="AF72" i="6" s="1"/>
  <c r="AA72" i="6"/>
  <c r="AH72" i="6" s="1"/>
  <c r="V72" i="6"/>
  <c r="AC72" i="6" s="1"/>
  <c r="AJ71" i="6"/>
  <c r="O77" i="6"/>
  <c r="P77" i="6"/>
  <c r="B74" i="11"/>
  <c r="K79" i="6"/>
  <c r="R74" i="6"/>
  <c r="S74" i="6" s="1"/>
  <c r="B75" i="6" s="1"/>
  <c r="D74" i="6"/>
  <c r="C74" i="11" s="1"/>
  <c r="G74" i="6"/>
  <c r="F74" i="11" s="1"/>
  <c r="E74" i="6"/>
  <c r="D74" i="11" s="1"/>
  <c r="I74" i="6"/>
  <c r="H74" i="11" s="1"/>
  <c r="F74" i="6"/>
  <c r="E74" i="11" s="1"/>
  <c r="H74" i="6"/>
  <c r="G74" i="11" s="1"/>
  <c r="J76" i="6"/>
  <c r="Q75" i="6"/>
  <c r="C75" i="6" s="1"/>
  <c r="M77" i="6"/>
  <c r="N78" i="6"/>
  <c r="I73" i="11"/>
  <c r="L77" i="6"/>
  <c r="K63" i="8"/>
  <c r="L62" i="8"/>
  <c r="M78" i="12" l="1"/>
  <c r="R76" i="12"/>
  <c r="S76" i="12"/>
  <c r="B77" i="12" s="1"/>
  <c r="I76" i="12"/>
  <c r="H76" i="12"/>
  <c r="C76" i="12"/>
  <c r="T76" i="12" s="1"/>
  <c r="U76" i="12" s="1"/>
  <c r="L78" i="12"/>
  <c r="P80" i="12"/>
  <c r="E76" i="12"/>
  <c r="K78" i="12"/>
  <c r="D77" i="12"/>
  <c r="G76" i="12"/>
  <c r="F76" i="12"/>
  <c r="Q77" i="12"/>
  <c r="C77" i="12"/>
  <c r="J78" i="12"/>
  <c r="O79" i="12"/>
  <c r="D76" i="12"/>
  <c r="N78" i="12"/>
  <c r="G77" i="12"/>
  <c r="X72" i="12"/>
  <c r="AE72" i="12" s="1"/>
  <c r="W72" i="12"/>
  <c r="AD72" i="12" s="1"/>
  <c r="V72" i="12"/>
  <c r="AC72" i="12" s="1"/>
  <c r="Y72" i="12"/>
  <c r="AF72" i="12" s="1"/>
  <c r="AA72" i="12"/>
  <c r="AH72" i="12" s="1"/>
  <c r="Z72" i="12"/>
  <c r="AG72" i="12" s="1"/>
  <c r="AB72" i="12"/>
  <c r="AI71" i="12"/>
  <c r="W73" i="6"/>
  <c r="AD73" i="6" s="1"/>
  <c r="Z73" i="6"/>
  <c r="AG73" i="6" s="1"/>
  <c r="V73" i="6"/>
  <c r="AC73" i="6" s="1"/>
  <c r="Y73" i="6"/>
  <c r="AF73" i="6" s="1"/>
  <c r="AB73" i="6"/>
  <c r="AI73" i="6" s="1"/>
  <c r="X73" i="6"/>
  <c r="AE73" i="6" s="1"/>
  <c r="AA73" i="6"/>
  <c r="AH73" i="6" s="1"/>
  <c r="AJ72" i="6"/>
  <c r="J77" i="6"/>
  <c r="Q76" i="6"/>
  <c r="C76" i="6" s="1"/>
  <c r="B75" i="11"/>
  <c r="R75" i="6"/>
  <c r="S75" i="6" s="1"/>
  <c r="B76" i="6" s="1"/>
  <c r="D75" i="6"/>
  <c r="C75" i="11" s="1"/>
  <c r="G75" i="6"/>
  <c r="F75" i="11" s="1"/>
  <c r="I75" i="6"/>
  <c r="H75" i="11" s="1"/>
  <c r="F75" i="6"/>
  <c r="E75" i="11" s="1"/>
  <c r="E75" i="6"/>
  <c r="D75" i="11" s="1"/>
  <c r="H75" i="6"/>
  <c r="G75" i="11" s="1"/>
  <c r="P78" i="6"/>
  <c r="L78" i="6"/>
  <c r="K80" i="6"/>
  <c r="N79" i="6"/>
  <c r="I74" i="11"/>
  <c r="M78" i="6"/>
  <c r="O78" i="6"/>
  <c r="K64" i="8"/>
  <c r="L63" i="8"/>
  <c r="N79" i="12" l="1"/>
  <c r="Q78" i="12"/>
  <c r="J79" i="12"/>
  <c r="C78" i="12"/>
  <c r="K79" i="12"/>
  <c r="D78" i="12"/>
  <c r="L79" i="12"/>
  <c r="O80" i="12"/>
  <c r="P81" i="12"/>
  <c r="M79" i="12"/>
  <c r="F78" i="12"/>
  <c r="R77" i="12"/>
  <c r="S77" i="12"/>
  <c r="B78" i="12" s="1"/>
  <c r="I77" i="12"/>
  <c r="H77" i="12"/>
  <c r="E77" i="12"/>
  <c r="T77" i="12" s="1"/>
  <c r="U77" i="12" s="1"/>
  <c r="F77" i="12"/>
  <c r="Z74" i="12"/>
  <c r="AG74" i="12" s="1"/>
  <c r="Y74" i="12"/>
  <c r="AF74" i="12" s="1"/>
  <c r="X74" i="12"/>
  <c r="AE74" i="12" s="1"/>
  <c r="AA74" i="12"/>
  <c r="AH74" i="12" s="1"/>
  <c r="V74" i="12"/>
  <c r="AC74" i="12" s="1"/>
  <c r="W74" i="12"/>
  <c r="AD74" i="12" s="1"/>
  <c r="AB74" i="12"/>
  <c r="AB73" i="12"/>
  <c r="AA73" i="12"/>
  <c r="AH73" i="12" s="1"/>
  <c r="V73" i="12"/>
  <c r="AC73" i="12" s="1"/>
  <c r="X73" i="12"/>
  <c r="AE73" i="12" s="1"/>
  <c r="W73" i="12"/>
  <c r="AD73" i="12" s="1"/>
  <c r="Z73" i="12"/>
  <c r="AG73" i="12" s="1"/>
  <c r="Y73" i="12"/>
  <c r="AF73" i="12" s="1"/>
  <c r="AI72" i="12"/>
  <c r="W74" i="6"/>
  <c r="AD74" i="6" s="1"/>
  <c r="Y74" i="6"/>
  <c r="AF74" i="6" s="1"/>
  <c r="X74" i="6"/>
  <c r="AE74" i="6" s="1"/>
  <c r="Z74" i="6"/>
  <c r="AG74" i="6" s="1"/>
  <c r="V74" i="6"/>
  <c r="AC74" i="6" s="1"/>
  <c r="AB74" i="6"/>
  <c r="AI74" i="6" s="1"/>
  <c r="AA74" i="6"/>
  <c r="AH74" i="6" s="1"/>
  <c r="AJ73" i="6"/>
  <c r="L79" i="6"/>
  <c r="P79" i="6"/>
  <c r="R76" i="6"/>
  <c r="S76" i="6" s="1"/>
  <c r="B77" i="6" s="1"/>
  <c r="D76" i="6"/>
  <c r="C76" i="11" s="1"/>
  <c r="G76" i="6"/>
  <c r="F76" i="11" s="1"/>
  <c r="F76" i="6"/>
  <c r="E76" i="11" s="1"/>
  <c r="I76" i="6"/>
  <c r="H76" i="11" s="1"/>
  <c r="H76" i="6"/>
  <c r="G76" i="11" s="1"/>
  <c r="E76" i="6"/>
  <c r="D76" i="11" s="1"/>
  <c r="M79" i="6"/>
  <c r="N80" i="6"/>
  <c r="I75" i="11"/>
  <c r="B76" i="11"/>
  <c r="O79" i="6"/>
  <c r="K81" i="6"/>
  <c r="J78" i="6"/>
  <c r="Q77" i="6"/>
  <c r="C77" i="6" s="1"/>
  <c r="K65" i="8"/>
  <c r="L64" i="8"/>
  <c r="L80" i="12" l="1"/>
  <c r="K80" i="12"/>
  <c r="P82" i="12"/>
  <c r="M80" i="12"/>
  <c r="F79" i="12"/>
  <c r="AI74" i="12"/>
  <c r="J80" i="12"/>
  <c r="Q79" i="12"/>
  <c r="R78" i="12"/>
  <c r="S78" i="12" s="1"/>
  <c r="B79" i="12" s="1"/>
  <c r="I78" i="12"/>
  <c r="H78" i="12"/>
  <c r="O81" i="12"/>
  <c r="N80" i="12"/>
  <c r="E78" i="12"/>
  <c r="T78" i="12" s="1"/>
  <c r="U78" i="12" s="1"/>
  <c r="G78" i="12"/>
  <c r="W75" i="12"/>
  <c r="AD75" i="12" s="1"/>
  <c r="V75" i="12"/>
  <c r="AC75" i="12" s="1"/>
  <c r="AB75" i="12"/>
  <c r="X75" i="12"/>
  <c r="AE75" i="12" s="1"/>
  <c r="AA75" i="12"/>
  <c r="AH75" i="12" s="1"/>
  <c r="Z75" i="12"/>
  <c r="AG75" i="12" s="1"/>
  <c r="Y75" i="12"/>
  <c r="AF75" i="12" s="1"/>
  <c r="AI73" i="12"/>
  <c r="W75" i="6"/>
  <c r="AD75" i="6" s="1"/>
  <c r="AB75" i="6"/>
  <c r="AI75" i="6" s="1"/>
  <c r="Y75" i="6"/>
  <c r="AF75" i="6" s="1"/>
  <c r="X75" i="6"/>
  <c r="AE75" i="6" s="1"/>
  <c r="Z75" i="6"/>
  <c r="AG75" i="6" s="1"/>
  <c r="V75" i="6"/>
  <c r="AC75" i="6" s="1"/>
  <c r="AA75" i="6"/>
  <c r="AH75" i="6" s="1"/>
  <c r="AJ74" i="6"/>
  <c r="B77" i="11"/>
  <c r="N81" i="6"/>
  <c r="J79" i="6"/>
  <c r="Q78" i="6"/>
  <c r="C78" i="6" s="1"/>
  <c r="K82" i="6"/>
  <c r="O80" i="6"/>
  <c r="M80" i="6"/>
  <c r="P80" i="6"/>
  <c r="I76" i="11"/>
  <c r="R77" i="6"/>
  <c r="S77" i="6" s="1"/>
  <c r="B78" i="6" s="1"/>
  <c r="D77" i="6"/>
  <c r="C77" i="11" s="1"/>
  <c r="G77" i="6"/>
  <c r="F77" i="11" s="1"/>
  <c r="H77" i="6"/>
  <c r="G77" i="11" s="1"/>
  <c r="I77" i="6"/>
  <c r="H77" i="11" s="1"/>
  <c r="E77" i="6"/>
  <c r="D77" i="11" s="1"/>
  <c r="F77" i="6"/>
  <c r="E77" i="11" s="1"/>
  <c r="L80" i="6"/>
  <c r="K66" i="8"/>
  <c r="L65" i="8"/>
  <c r="M81" i="12" l="1"/>
  <c r="F80" i="12"/>
  <c r="R79" i="12"/>
  <c r="S79" i="12" s="1"/>
  <c r="B80" i="12" s="1"/>
  <c r="I79" i="12"/>
  <c r="H79" i="12"/>
  <c r="G80" i="12"/>
  <c r="N81" i="12"/>
  <c r="Q80" i="12"/>
  <c r="J81" i="12"/>
  <c r="C80" i="12"/>
  <c r="K81" i="12"/>
  <c r="D80" i="12"/>
  <c r="O82" i="12"/>
  <c r="C79" i="12"/>
  <c r="T79" i="12" s="1"/>
  <c r="U79" i="12" s="1"/>
  <c r="D79" i="12"/>
  <c r="G79" i="12"/>
  <c r="AI75" i="12"/>
  <c r="L81" i="12"/>
  <c r="E80" i="12"/>
  <c r="P83" i="12"/>
  <c r="E79" i="12"/>
  <c r="AA76" i="12"/>
  <c r="AH76" i="12" s="1"/>
  <c r="Z76" i="12"/>
  <c r="AG76" i="12" s="1"/>
  <c r="AB76" i="12"/>
  <c r="Y76" i="12"/>
  <c r="AF76" i="12" s="1"/>
  <c r="X76" i="12"/>
  <c r="AE76" i="12" s="1"/>
  <c r="W76" i="12"/>
  <c r="AD76" i="12" s="1"/>
  <c r="V76" i="12"/>
  <c r="AC76" i="12" s="1"/>
  <c r="W76" i="6"/>
  <c r="AD76" i="6" s="1"/>
  <c r="AA76" i="6"/>
  <c r="AH76" i="6" s="1"/>
  <c r="AB76" i="6"/>
  <c r="AI76" i="6" s="1"/>
  <c r="Y76" i="6"/>
  <c r="AF76" i="6" s="1"/>
  <c r="X76" i="6"/>
  <c r="AE76" i="6" s="1"/>
  <c r="Z76" i="6"/>
  <c r="AG76" i="6" s="1"/>
  <c r="V76" i="6"/>
  <c r="AC76" i="6" s="1"/>
  <c r="AJ75" i="6"/>
  <c r="P81" i="6"/>
  <c r="R78" i="6"/>
  <c r="S78" i="6"/>
  <c r="B79" i="6" s="1"/>
  <c r="D78" i="6"/>
  <c r="C78" i="11" s="1"/>
  <c r="G78" i="6"/>
  <c r="F78" i="11" s="1"/>
  <c r="H78" i="6"/>
  <c r="G78" i="11" s="1"/>
  <c r="E78" i="6"/>
  <c r="D78" i="11" s="1"/>
  <c r="I78" i="6"/>
  <c r="H78" i="11" s="1"/>
  <c r="F78" i="6"/>
  <c r="E78" i="11" s="1"/>
  <c r="I77" i="11"/>
  <c r="K83" i="6"/>
  <c r="B78" i="11"/>
  <c r="J80" i="6"/>
  <c r="Q79" i="6"/>
  <c r="M81" i="6"/>
  <c r="N82" i="6"/>
  <c r="O81" i="6"/>
  <c r="L81" i="6"/>
  <c r="K67" i="8"/>
  <c r="L66" i="8"/>
  <c r="O83" i="12" l="1"/>
  <c r="N82" i="12"/>
  <c r="L82" i="12"/>
  <c r="K82" i="12"/>
  <c r="P84" i="12"/>
  <c r="T80" i="12"/>
  <c r="U80" i="12" s="1"/>
  <c r="Q81" i="12"/>
  <c r="D81" i="12" s="1"/>
  <c r="J82" i="12"/>
  <c r="R80" i="12"/>
  <c r="S80" i="12" s="1"/>
  <c r="B81" i="12" s="1"/>
  <c r="I80" i="12"/>
  <c r="H80" i="12"/>
  <c r="M82" i="12"/>
  <c r="Y77" i="12"/>
  <c r="AF77" i="12" s="1"/>
  <c r="X77" i="12"/>
  <c r="AE77" i="12" s="1"/>
  <c r="W77" i="12"/>
  <c r="AD77" i="12" s="1"/>
  <c r="Z77" i="12"/>
  <c r="AG77" i="12" s="1"/>
  <c r="V77" i="12"/>
  <c r="AC77" i="12" s="1"/>
  <c r="AB77" i="12"/>
  <c r="AA77" i="12"/>
  <c r="AH77" i="12" s="1"/>
  <c r="AI76" i="12"/>
  <c r="AJ76" i="6"/>
  <c r="W77" i="6"/>
  <c r="AD77" i="6" s="1"/>
  <c r="AA77" i="6"/>
  <c r="AH77" i="6" s="1"/>
  <c r="AB77" i="6"/>
  <c r="AI77" i="6" s="1"/>
  <c r="Z77" i="6"/>
  <c r="AG77" i="6" s="1"/>
  <c r="X77" i="6"/>
  <c r="AE77" i="6" s="1"/>
  <c r="Y77" i="6"/>
  <c r="AF77" i="6" s="1"/>
  <c r="V77" i="6"/>
  <c r="AC77" i="6" s="1"/>
  <c r="L82" i="6"/>
  <c r="J81" i="6"/>
  <c r="Q80" i="6"/>
  <c r="C80" i="6" s="1"/>
  <c r="O82" i="6"/>
  <c r="R79" i="6"/>
  <c r="S79" i="6" s="1"/>
  <c r="B80" i="6" s="1"/>
  <c r="D79" i="6"/>
  <c r="C79" i="11" s="1"/>
  <c r="G79" i="6"/>
  <c r="F79" i="11" s="1"/>
  <c r="H79" i="6"/>
  <c r="G79" i="11" s="1"/>
  <c r="F79" i="6"/>
  <c r="E79" i="11" s="1"/>
  <c r="I79" i="6"/>
  <c r="H79" i="11" s="1"/>
  <c r="E79" i="6"/>
  <c r="D79" i="11" s="1"/>
  <c r="I78" i="11"/>
  <c r="N83" i="6"/>
  <c r="K84" i="6"/>
  <c r="M82" i="6"/>
  <c r="C79" i="6"/>
  <c r="P82" i="6"/>
  <c r="K68" i="8"/>
  <c r="L67" i="8"/>
  <c r="Q82" i="12" l="1"/>
  <c r="J83" i="12"/>
  <c r="C82" i="12"/>
  <c r="K83" i="12"/>
  <c r="D82" i="12"/>
  <c r="O84" i="12"/>
  <c r="L83" i="12"/>
  <c r="E82" i="12"/>
  <c r="R81" i="12"/>
  <c r="S81" i="12" s="1"/>
  <c r="B82" i="12" s="1"/>
  <c r="I81" i="12"/>
  <c r="H81" i="12"/>
  <c r="E81" i="12"/>
  <c r="F81" i="12"/>
  <c r="C81" i="12"/>
  <c r="T81" i="12" s="1"/>
  <c r="U81" i="12" s="1"/>
  <c r="G81" i="12"/>
  <c r="M83" i="12"/>
  <c r="F82" i="12"/>
  <c r="G82" i="12"/>
  <c r="N83" i="12"/>
  <c r="P85" i="12"/>
  <c r="V78" i="12"/>
  <c r="AC78" i="12" s="1"/>
  <c r="AB78" i="12"/>
  <c r="W78" i="12"/>
  <c r="AD78" i="12" s="1"/>
  <c r="Y78" i="12"/>
  <c r="AF78" i="12" s="1"/>
  <c r="AA78" i="12"/>
  <c r="AH78" i="12" s="1"/>
  <c r="Z78" i="12"/>
  <c r="AG78" i="12" s="1"/>
  <c r="X78" i="12"/>
  <c r="AE78" i="12" s="1"/>
  <c r="AI77" i="12"/>
  <c r="W78" i="6"/>
  <c r="AD78" i="6" s="1"/>
  <c r="AA78" i="6"/>
  <c r="AH78" i="6" s="1"/>
  <c r="V78" i="6"/>
  <c r="AC78" i="6" s="1"/>
  <c r="AB78" i="6"/>
  <c r="AI78" i="6" s="1"/>
  <c r="Z78" i="6"/>
  <c r="AG78" i="6" s="1"/>
  <c r="X78" i="6"/>
  <c r="AE78" i="6" s="1"/>
  <c r="Y78" i="6"/>
  <c r="AF78" i="6" s="1"/>
  <c r="AJ77" i="6"/>
  <c r="B79" i="11"/>
  <c r="I79" i="11" s="1"/>
  <c r="R80" i="6"/>
  <c r="S80" i="6" s="1"/>
  <c r="B81" i="6" s="1"/>
  <c r="D80" i="6"/>
  <c r="C80" i="11" s="1"/>
  <c r="G80" i="6"/>
  <c r="F80" i="11" s="1"/>
  <c r="E80" i="6"/>
  <c r="D80" i="11" s="1"/>
  <c r="F80" i="6"/>
  <c r="E80" i="11" s="1"/>
  <c r="I80" i="6"/>
  <c r="H80" i="11" s="1"/>
  <c r="H80" i="6"/>
  <c r="G80" i="11" s="1"/>
  <c r="K85" i="6"/>
  <c r="J82" i="6"/>
  <c r="Q81" i="6"/>
  <c r="C81" i="6" s="1"/>
  <c r="P83" i="6"/>
  <c r="O83" i="6"/>
  <c r="B80" i="11"/>
  <c r="M83" i="6"/>
  <c r="N84" i="6"/>
  <c r="L83" i="6"/>
  <c r="K69" i="8"/>
  <c r="L68" i="8"/>
  <c r="K84" i="12" l="1"/>
  <c r="P86" i="12"/>
  <c r="L84" i="12"/>
  <c r="O85" i="12"/>
  <c r="N84" i="12"/>
  <c r="M84" i="12"/>
  <c r="J84" i="12"/>
  <c r="Q83" i="12"/>
  <c r="R82" i="12"/>
  <c r="S82" i="12"/>
  <c r="B83" i="12" s="1"/>
  <c r="I82" i="12"/>
  <c r="H82" i="12"/>
  <c r="T82" i="12" s="1"/>
  <c r="U82" i="12" s="1"/>
  <c r="AI78" i="12"/>
  <c r="AJ78" i="6"/>
  <c r="W79" i="6"/>
  <c r="AD79" i="6" s="1"/>
  <c r="AA79" i="6"/>
  <c r="AH79" i="6" s="1"/>
  <c r="V79" i="6"/>
  <c r="AC79" i="6" s="1"/>
  <c r="AB79" i="6"/>
  <c r="AI79" i="6" s="1"/>
  <c r="Z79" i="6"/>
  <c r="AG79" i="6" s="1"/>
  <c r="X79" i="6"/>
  <c r="AE79" i="6" s="1"/>
  <c r="Y79" i="6"/>
  <c r="AF79" i="6" s="1"/>
  <c r="N85" i="6"/>
  <c r="I80" i="11"/>
  <c r="J83" i="6"/>
  <c r="Q82" i="6"/>
  <c r="C82" i="6" s="1"/>
  <c r="K86" i="6"/>
  <c r="P84" i="6"/>
  <c r="B81" i="11"/>
  <c r="M84" i="6"/>
  <c r="R81" i="6"/>
  <c r="S81" i="6" s="1"/>
  <c r="B82" i="6" s="1"/>
  <c r="D81" i="6"/>
  <c r="C81" i="11" s="1"/>
  <c r="G81" i="6"/>
  <c r="F81" i="11" s="1"/>
  <c r="F81" i="6"/>
  <c r="E81" i="11" s="1"/>
  <c r="E81" i="6"/>
  <c r="D81" i="11" s="1"/>
  <c r="H81" i="6"/>
  <c r="G81" i="11" s="1"/>
  <c r="I81" i="6"/>
  <c r="H81" i="11" s="1"/>
  <c r="L84" i="6"/>
  <c r="O84" i="6"/>
  <c r="K70" i="8"/>
  <c r="L69" i="8"/>
  <c r="Q84" i="12" l="1"/>
  <c r="J85" i="12"/>
  <c r="C84" i="12"/>
  <c r="R83" i="12"/>
  <c r="S83" i="12" s="1"/>
  <c r="B84" i="12" s="1"/>
  <c r="I83" i="12"/>
  <c r="H83" i="12"/>
  <c r="O86" i="12"/>
  <c r="C83" i="12"/>
  <c r="L85" i="12"/>
  <c r="E84" i="12"/>
  <c r="F83" i="12"/>
  <c r="E83" i="12"/>
  <c r="M85" i="12"/>
  <c r="F84" i="12"/>
  <c r="P87" i="12"/>
  <c r="G83" i="12"/>
  <c r="K85" i="12"/>
  <c r="D84" i="12"/>
  <c r="G84" i="12"/>
  <c r="N85" i="12"/>
  <c r="D83" i="12"/>
  <c r="AA79" i="12"/>
  <c r="AH79" i="12" s="1"/>
  <c r="Z79" i="12"/>
  <c r="AG79" i="12" s="1"/>
  <c r="Y79" i="12"/>
  <c r="AF79" i="12" s="1"/>
  <c r="AB79" i="12"/>
  <c r="X79" i="12"/>
  <c r="AE79" i="12" s="1"/>
  <c r="W79" i="12"/>
  <c r="AD79" i="12" s="1"/>
  <c r="V79" i="12"/>
  <c r="AC79" i="12" s="1"/>
  <c r="W80" i="6"/>
  <c r="AD80" i="6" s="1"/>
  <c r="AA80" i="6"/>
  <c r="AH80" i="6" s="1"/>
  <c r="AB80" i="6"/>
  <c r="AI80" i="6" s="1"/>
  <c r="Z80" i="6"/>
  <c r="AG80" i="6" s="1"/>
  <c r="V80" i="6"/>
  <c r="AC80" i="6" s="1"/>
  <c r="X80" i="6"/>
  <c r="AE80" i="6" s="1"/>
  <c r="Y80" i="6"/>
  <c r="AF80" i="6" s="1"/>
  <c r="AJ79" i="6"/>
  <c r="L85" i="6"/>
  <c r="B82" i="11"/>
  <c r="R82" i="6"/>
  <c r="S82" i="6" s="1"/>
  <c r="B83" i="6" s="1"/>
  <c r="D82" i="6"/>
  <c r="C82" i="11" s="1"/>
  <c r="G82" i="6"/>
  <c r="F82" i="11" s="1"/>
  <c r="F82" i="6"/>
  <c r="E82" i="11" s="1"/>
  <c r="H82" i="6"/>
  <c r="G82" i="11" s="1"/>
  <c r="E82" i="6"/>
  <c r="D82" i="11" s="1"/>
  <c r="I82" i="6"/>
  <c r="H82" i="11" s="1"/>
  <c r="I81" i="11"/>
  <c r="J84" i="6"/>
  <c r="Q83" i="6"/>
  <c r="C83" i="6" s="1"/>
  <c r="O85" i="6"/>
  <c r="K87" i="6"/>
  <c r="M85" i="6"/>
  <c r="P85" i="6"/>
  <c r="N86" i="6"/>
  <c r="K71" i="8"/>
  <c r="L70" i="8"/>
  <c r="O87" i="12" l="1"/>
  <c r="M86" i="12"/>
  <c r="F85" i="12"/>
  <c r="P88" i="12"/>
  <c r="C85" i="12"/>
  <c r="Q85" i="12"/>
  <c r="J86" i="12"/>
  <c r="N86" i="12"/>
  <c r="G85" i="12"/>
  <c r="D85" i="12"/>
  <c r="K86" i="12"/>
  <c r="E85" i="12"/>
  <c r="L86" i="12"/>
  <c r="T83" i="12"/>
  <c r="U83" i="12" s="1"/>
  <c r="R84" i="12"/>
  <c r="S84" i="12" s="1"/>
  <c r="B85" i="12" s="1"/>
  <c r="I84" i="12"/>
  <c r="H84" i="12"/>
  <c r="T84" i="12" s="1"/>
  <c r="U84" i="12" s="1"/>
  <c r="X80" i="12"/>
  <c r="AE80" i="12" s="1"/>
  <c r="W80" i="12"/>
  <c r="AD80" i="12" s="1"/>
  <c r="V80" i="12"/>
  <c r="AC80" i="12" s="1"/>
  <c r="Y80" i="12"/>
  <c r="AF80" i="12" s="1"/>
  <c r="AA80" i="12"/>
  <c r="AH80" i="12" s="1"/>
  <c r="Z80" i="12"/>
  <c r="AG80" i="12" s="1"/>
  <c r="AB80" i="12"/>
  <c r="AI79" i="12"/>
  <c r="W81" i="6"/>
  <c r="AD81" i="6" s="1"/>
  <c r="AB81" i="6"/>
  <c r="AI81" i="6" s="1"/>
  <c r="Z81" i="6"/>
  <c r="AG81" i="6" s="1"/>
  <c r="V81" i="6"/>
  <c r="AC81" i="6" s="1"/>
  <c r="AA81" i="6"/>
  <c r="AH81" i="6" s="1"/>
  <c r="Y81" i="6"/>
  <c r="AF81" i="6" s="1"/>
  <c r="X81" i="6"/>
  <c r="AE81" i="6" s="1"/>
  <c r="AJ80" i="6"/>
  <c r="N87" i="6"/>
  <c r="O86" i="6"/>
  <c r="L86" i="6"/>
  <c r="R83" i="6"/>
  <c r="S83" i="6" s="1"/>
  <c r="B84" i="6" s="1"/>
  <c r="D83" i="6"/>
  <c r="C83" i="11" s="1"/>
  <c r="G83" i="6"/>
  <c r="F83" i="11" s="1"/>
  <c r="H83" i="6"/>
  <c r="G83" i="11" s="1"/>
  <c r="E83" i="6"/>
  <c r="D83" i="11" s="1"/>
  <c r="I83" i="6"/>
  <c r="H83" i="11" s="1"/>
  <c r="F83" i="6"/>
  <c r="E83" i="11" s="1"/>
  <c r="J85" i="6"/>
  <c r="Q84" i="6"/>
  <c r="C84" i="6" s="1"/>
  <c r="P86" i="6"/>
  <c r="B83" i="11"/>
  <c r="M86" i="6"/>
  <c r="K88" i="6"/>
  <c r="I82" i="11"/>
  <c r="K72" i="8"/>
  <c r="L71" i="8"/>
  <c r="L87" i="12" l="1"/>
  <c r="N87" i="12"/>
  <c r="M87" i="12"/>
  <c r="F86" i="12"/>
  <c r="T85" i="12"/>
  <c r="U85" i="12" s="1"/>
  <c r="K87" i="12"/>
  <c r="P89" i="12"/>
  <c r="Q86" i="12"/>
  <c r="E86" i="12" s="1"/>
  <c r="J87" i="12"/>
  <c r="C86" i="12"/>
  <c r="O88" i="12"/>
  <c r="R85" i="12"/>
  <c r="S85" i="12" s="1"/>
  <c r="B86" i="12" s="1"/>
  <c r="I85" i="12"/>
  <c r="H85" i="12"/>
  <c r="AI80" i="12"/>
  <c r="AB81" i="12"/>
  <c r="AA81" i="12"/>
  <c r="AH81" i="12" s="1"/>
  <c r="V81" i="12"/>
  <c r="AC81" i="12" s="1"/>
  <c r="X81" i="12"/>
  <c r="AE81" i="12" s="1"/>
  <c r="W81" i="12"/>
  <c r="AD81" i="12" s="1"/>
  <c r="Z81" i="12"/>
  <c r="AG81" i="12" s="1"/>
  <c r="Y81" i="12"/>
  <c r="AF81" i="12" s="1"/>
  <c r="W82" i="6"/>
  <c r="AD82" i="6" s="1"/>
  <c r="Y82" i="6"/>
  <c r="AF82" i="6" s="1"/>
  <c r="X82" i="6"/>
  <c r="AE82" i="6" s="1"/>
  <c r="AB82" i="6"/>
  <c r="AI82" i="6" s="1"/>
  <c r="Z82" i="6"/>
  <c r="AG82" i="6" s="1"/>
  <c r="V82" i="6"/>
  <c r="AC82" i="6" s="1"/>
  <c r="AA82" i="6"/>
  <c r="AH82" i="6" s="1"/>
  <c r="AJ81" i="6"/>
  <c r="P87" i="6"/>
  <c r="K89" i="6"/>
  <c r="R84" i="6"/>
  <c r="S84" i="6" s="1"/>
  <c r="B85" i="6" s="1"/>
  <c r="D84" i="6"/>
  <c r="C84" i="11" s="1"/>
  <c r="G84" i="6"/>
  <c r="F84" i="11" s="1"/>
  <c r="E84" i="6"/>
  <c r="D84" i="11" s="1"/>
  <c r="H84" i="6"/>
  <c r="G84" i="11" s="1"/>
  <c r="F84" i="6"/>
  <c r="E84" i="11" s="1"/>
  <c r="I84" i="6"/>
  <c r="H84" i="11" s="1"/>
  <c r="I83" i="11"/>
  <c r="B84" i="11"/>
  <c r="J86" i="6"/>
  <c r="Q85" i="6"/>
  <c r="L87" i="6"/>
  <c r="M87" i="6"/>
  <c r="O87" i="6"/>
  <c r="N88" i="6"/>
  <c r="K73" i="8"/>
  <c r="L72" i="8"/>
  <c r="O89" i="12" l="1"/>
  <c r="J88" i="12"/>
  <c r="Q87" i="12"/>
  <c r="M88" i="12"/>
  <c r="F87" i="12"/>
  <c r="N88" i="12"/>
  <c r="P90" i="12"/>
  <c r="G86" i="12"/>
  <c r="D87" i="12"/>
  <c r="K88" i="12"/>
  <c r="T86" i="12"/>
  <c r="U86" i="12" s="1"/>
  <c r="R86" i="12"/>
  <c r="S86" i="12" s="1"/>
  <c r="B87" i="12" s="1"/>
  <c r="I86" i="12"/>
  <c r="H86" i="12"/>
  <c r="D86" i="12"/>
  <c r="E87" i="12"/>
  <c r="L88" i="12"/>
  <c r="AI81" i="12"/>
  <c r="Z82" i="12"/>
  <c r="AG82" i="12" s="1"/>
  <c r="Y82" i="12"/>
  <c r="AF82" i="12" s="1"/>
  <c r="X82" i="12"/>
  <c r="AE82" i="12" s="1"/>
  <c r="AA82" i="12"/>
  <c r="AH82" i="12" s="1"/>
  <c r="V82" i="12"/>
  <c r="AC82" i="12" s="1"/>
  <c r="AB82" i="12"/>
  <c r="W82" i="12"/>
  <c r="AD82" i="12" s="1"/>
  <c r="AB83" i="6"/>
  <c r="AI83" i="6" s="1"/>
  <c r="Y83" i="6"/>
  <c r="AF83" i="6" s="1"/>
  <c r="X83" i="6"/>
  <c r="AE83" i="6" s="1"/>
  <c r="Z83" i="6"/>
  <c r="AG83" i="6" s="1"/>
  <c r="V83" i="6"/>
  <c r="AC83" i="6" s="1"/>
  <c r="W83" i="6"/>
  <c r="AD83" i="6" s="1"/>
  <c r="AA83" i="6"/>
  <c r="AH83" i="6" s="1"/>
  <c r="AJ82" i="6"/>
  <c r="J87" i="6"/>
  <c r="Q86" i="6"/>
  <c r="C86" i="6" s="1"/>
  <c r="I84" i="11"/>
  <c r="M88" i="6"/>
  <c r="L88" i="6"/>
  <c r="R85" i="6"/>
  <c r="S85" i="6" s="1"/>
  <c r="B86" i="6" s="1"/>
  <c r="D85" i="6"/>
  <c r="C85" i="11" s="1"/>
  <c r="G85" i="6"/>
  <c r="F85" i="11" s="1"/>
  <c r="I85" i="6"/>
  <c r="H85" i="11" s="1"/>
  <c r="F85" i="6"/>
  <c r="E85" i="11" s="1"/>
  <c r="E85" i="6"/>
  <c r="D85" i="11" s="1"/>
  <c r="H85" i="6"/>
  <c r="G85" i="11" s="1"/>
  <c r="O88" i="6"/>
  <c r="K90" i="6"/>
  <c r="N89" i="6"/>
  <c r="C85" i="6"/>
  <c r="P88" i="6"/>
  <c r="K74" i="8"/>
  <c r="L73" i="8"/>
  <c r="N89" i="12" l="1"/>
  <c r="K89" i="12"/>
  <c r="D88" i="12"/>
  <c r="AI82" i="12"/>
  <c r="R87" i="12"/>
  <c r="S87" i="12" s="1"/>
  <c r="B88" i="12" s="1"/>
  <c r="I87" i="12"/>
  <c r="H87" i="12"/>
  <c r="Q88" i="12"/>
  <c r="J89" i="12"/>
  <c r="C88" i="12"/>
  <c r="M89" i="12"/>
  <c r="F88" i="12"/>
  <c r="C87" i="12"/>
  <c r="P91" i="12"/>
  <c r="O90" i="12"/>
  <c r="L89" i="12"/>
  <c r="E88" i="12"/>
  <c r="G87" i="12"/>
  <c r="W83" i="12"/>
  <c r="AD83" i="12" s="1"/>
  <c r="V83" i="12"/>
  <c r="AC83" i="12" s="1"/>
  <c r="AB83" i="12"/>
  <c r="X83" i="12"/>
  <c r="AE83" i="12" s="1"/>
  <c r="AA83" i="12"/>
  <c r="AH83" i="12" s="1"/>
  <c r="Z83" i="12"/>
  <c r="AG83" i="12" s="1"/>
  <c r="Y83" i="12"/>
  <c r="AF83" i="12" s="1"/>
  <c r="AJ83" i="6"/>
  <c r="AA84" i="6"/>
  <c r="AH84" i="6" s="1"/>
  <c r="AB84" i="6"/>
  <c r="AI84" i="6" s="1"/>
  <c r="W84" i="6"/>
  <c r="AD84" i="6" s="1"/>
  <c r="Y84" i="6"/>
  <c r="AF84" i="6" s="1"/>
  <c r="X84" i="6"/>
  <c r="AE84" i="6" s="1"/>
  <c r="V84" i="6"/>
  <c r="AC84" i="6" s="1"/>
  <c r="Z84" i="6"/>
  <c r="AG84" i="6" s="1"/>
  <c r="O89" i="6"/>
  <c r="P89" i="6"/>
  <c r="L89" i="6"/>
  <c r="B85" i="11"/>
  <c r="I85" i="11" s="1"/>
  <c r="B86" i="11"/>
  <c r="K91" i="6"/>
  <c r="R86" i="6"/>
  <c r="S86" i="6" s="1"/>
  <c r="B87" i="6" s="1"/>
  <c r="D86" i="6"/>
  <c r="C86" i="11" s="1"/>
  <c r="G86" i="6"/>
  <c r="F86" i="11" s="1"/>
  <c r="E86" i="6"/>
  <c r="D86" i="11" s="1"/>
  <c r="F86" i="6"/>
  <c r="E86" i="11" s="1"/>
  <c r="I86" i="6"/>
  <c r="H86" i="11" s="1"/>
  <c r="H86" i="6"/>
  <c r="G86" i="11" s="1"/>
  <c r="M89" i="6"/>
  <c r="N90" i="6"/>
  <c r="J88" i="6"/>
  <c r="Q87" i="6"/>
  <c r="C87" i="6" s="1"/>
  <c r="K75" i="8"/>
  <c r="L74" i="8"/>
  <c r="T87" i="12" l="1"/>
  <c r="U87" i="12" s="1"/>
  <c r="M90" i="12"/>
  <c r="L90" i="12"/>
  <c r="Q89" i="12"/>
  <c r="D89" i="12" s="1"/>
  <c r="J90" i="12"/>
  <c r="K90" i="12"/>
  <c r="O91" i="12"/>
  <c r="R88" i="12"/>
  <c r="S88" i="12" s="1"/>
  <c r="B89" i="12" s="1"/>
  <c r="I88" i="12"/>
  <c r="T88" i="12" s="1"/>
  <c r="U88" i="12" s="1"/>
  <c r="H88" i="12"/>
  <c r="N90" i="12"/>
  <c r="P92" i="12"/>
  <c r="G88" i="12"/>
  <c r="Y85" i="12"/>
  <c r="AF85" i="12" s="1"/>
  <c r="X85" i="12"/>
  <c r="AE85" i="12" s="1"/>
  <c r="W85" i="12"/>
  <c r="AD85" i="12" s="1"/>
  <c r="Z85" i="12"/>
  <c r="AG85" i="12" s="1"/>
  <c r="V85" i="12"/>
  <c r="AC85" i="12" s="1"/>
  <c r="AB85" i="12"/>
  <c r="AA85" i="12"/>
  <c r="AH85" i="12" s="1"/>
  <c r="AI83" i="12"/>
  <c r="AA84" i="12"/>
  <c r="AH84" i="12" s="1"/>
  <c r="Z84" i="12"/>
  <c r="AG84" i="12" s="1"/>
  <c r="AB84" i="12"/>
  <c r="Y84" i="12"/>
  <c r="AF84" i="12" s="1"/>
  <c r="X84" i="12"/>
  <c r="AE84" i="12" s="1"/>
  <c r="W84" i="12"/>
  <c r="AD84" i="12" s="1"/>
  <c r="V84" i="12"/>
  <c r="AC84" i="12" s="1"/>
  <c r="AJ84" i="6"/>
  <c r="W85" i="6"/>
  <c r="AD85" i="6" s="1"/>
  <c r="AA85" i="6"/>
  <c r="AH85" i="6" s="1"/>
  <c r="AB85" i="6"/>
  <c r="AI85" i="6" s="1"/>
  <c r="Y85" i="6"/>
  <c r="AF85" i="6" s="1"/>
  <c r="X85" i="6"/>
  <c r="AE85" i="6" s="1"/>
  <c r="V85" i="6"/>
  <c r="AC85" i="6" s="1"/>
  <c r="Z85" i="6"/>
  <c r="AG85" i="6" s="1"/>
  <c r="J89" i="6"/>
  <c r="Q88" i="6"/>
  <c r="C88" i="6" s="1"/>
  <c r="N91" i="6"/>
  <c r="I86" i="11"/>
  <c r="M90" i="6"/>
  <c r="L90" i="6"/>
  <c r="K92" i="6"/>
  <c r="P90" i="6"/>
  <c r="B87" i="11"/>
  <c r="R87" i="6"/>
  <c r="S87" i="6" s="1"/>
  <c r="B88" i="6" s="1"/>
  <c r="D87" i="6"/>
  <c r="C87" i="11" s="1"/>
  <c r="G87" i="6"/>
  <c r="F87" i="11" s="1"/>
  <c r="H87" i="6"/>
  <c r="G87" i="11" s="1"/>
  <c r="F87" i="6"/>
  <c r="E87" i="11" s="1"/>
  <c r="E87" i="6"/>
  <c r="D87" i="11" s="1"/>
  <c r="I87" i="6"/>
  <c r="H87" i="11" s="1"/>
  <c r="O90" i="6"/>
  <c r="K76" i="8"/>
  <c r="L75" i="8"/>
  <c r="C89" i="12" l="1"/>
  <c r="L91" i="12"/>
  <c r="O92" i="12"/>
  <c r="AI85" i="12"/>
  <c r="P93" i="12"/>
  <c r="E89" i="12"/>
  <c r="G89" i="12"/>
  <c r="K91" i="12"/>
  <c r="F89" i="12"/>
  <c r="N91" i="12"/>
  <c r="M91" i="12"/>
  <c r="R89" i="12"/>
  <c r="S89" i="12" s="1"/>
  <c r="B90" i="12" s="1"/>
  <c r="I89" i="12"/>
  <c r="H89" i="12"/>
  <c r="Q90" i="12"/>
  <c r="J91" i="12"/>
  <c r="AI84" i="12"/>
  <c r="V86" i="12"/>
  <c r="AC86" i="12" s="1"/>
  <c r="AB86" i="12"/>
  <c r="W86" i="12"/>
  <c r="AD86" i="12" s="1"/>
  <c r="Y86" i="12"/>
  <c r="AF86" i="12" s="1"/>
  <c r="X86" i="12"/>
  <c r="AE86" i="12" s="1"/>
  <c r="AA86" i="12"/>
  <c r="AH86" i="12" s="1"/>
  <c r="Z86" i="12"/>
  <c r="AG86" i="12" s="1"/>
  <c r="W86" i="6"/>
  <c r="AD86" i="6" s="1"/>
  <c r="AA86" i="6"/>
  <c r="AH86" i="6" s="1"/>
  <c r="AB86" i="6"/>
  <c r="AI86" i="6" s="1"/>
  <c r="Y86" i="6"/>
  <c r="AF86" i="6" s="1"/>
  <c r="X86" i="6"/>
  <c r="AE86" i="6" s="1"/>
  <c r="V86" i="6"/>
  <c r="AC86" i="6" s="1"/>
  <c r="Z86" i="6"/>
  <c r="AG86" i="6" s="1"/>
  <c r="AJ85" i="6"/>
  <c r="M91" i="6"/>
  <c r="O91" i="6"/>
  <c r="L91" i="6"/>
  <c r="I87" i="11"/>
  <c r="N92" i="6"/>
  <c r="K93" i="6"/>
  <c r="R88" i="6"/>
  <c r="S88" i="6" s="1"/>
  <c r="B89" i="6" s="1"/>
  <c r="D88" i="6"/>
  <c r="C88" i="11" s="1"/>
  <c r="G88" i="6"/>
  <c r="F88" i="11" s="1"/>
  <c r="H88" i="6"/>
  <c r="G88" i="11" s="1"/>
  <c r="I88" i="6"/>
  <c r="H88" i="11" s="1"/>
  <c r="E88" i="6"/>
  <c r="D88" i="11" s="1"/>
  <c r="F88" i="6"/>
  <c r="E88" i="11" s="1"/>
  <c r="P91" i="6"/>
  <c r="B88" i="11"/>
  <c r="J90" i="6"/>
  <c r="Q89" i="6"/>
  <c r="C89" i="6" s="1"/>
  <c r="K77" i="8"/>
  <c r="L76" i="8"/>
  <c r="R90" i="12" l="1"/>
  <c r="S90" i="12"/>
  <c r="B91" i="12" s="1"/>
  <c r="I90" i="12"/>
  <c r="H90" i="12"/>
  <c r="C90" i="12"/>
  <c r="F91" i="12"/>
  <c r="M92" i="12"/>
  <c r="P94" i="12"/>
  <c r="J92" i="12"/>
  <c r="Q91" i="12"/>
  <c r="C91" i="12" s="1"/>
  <c r="G91" i="12"/>
  <c r="N92" i="12"/>
  <c r="O93" i="12"/>
  <c r="L92" i="12"/>
  <c r="G90" i="12"/>
  <c r="D90" i="12"/>
  <c r="D91" i="12"/>
  <c r="K92" i="12"/>
  <c r="E90" i="12"/>
  <c r="F90" i="12"/>
  <c r="T89" i="12"/>
  <c r="U89" i="12" s="1"/>
  <c r="AA87" i="12"/>
  <c r="AH87" i="12" s="1"/>
  <c r="Z87" i="12"/>
  <c r="AG87" i="12" s="1"/>
  <c r="Y87" i="12"/>
  <c r="AF87" i="12" s="1"/>
  <c r="AB87" i="12"/>
  <c r="X87" i="12"/>
  <c r="AE87" i="12" s="1"/>
  <c r="W87" i="12"/>
  <c r="AD87" i="12" s="1"/>
  <c r="V87" i="12"/>
  <c r="AC87" i="12" s="1"/>
  <c r="AI86" i="12"/>
  <c r="AJ86" i="6"/>
  <c r="W87" i="6"/>
  <c r="AD87" i="6" s="1"/>
  <c r="AA87" i="6"/>
  <c r="AH87" i="6" s="1"/>
  <c r="Y87" i="6"/>
  <c r="AF87" i="6" s="1"/>
  <c r="X87" i="6"/>
  <c r="AE87" i="6" s="1"/>
  <c r="AB87" i="6"/>
  <c r="AI87" i="6" s="1"/>
  <c r="V87" i="6"/>
  <c r="AC87" i="6" s="1"/>
  <c r="Z87" i="6"/>
  <c r="AG87" i="6" s="1"/>
  <c r="K94" i="6"/>
  <c r="M92" i="6"/>
  <c r="B89" i="11"/>
  <c r="J91" i="6"/>
  <c r="Q90" i="6"/>
  <c r="P92" i="6"/>
  <c r="O92" i="6"/>
  <c r="R89" i="6"/>
  <c r="S89" i="6" s="1"/>
  <c r="B90" i="6" s="1"/>
  <c r="D89" i="6"/>
  <c r="C89" i="11" s="1"/>
  <c r="G89" i="6"/>
  <c r="F89" i="11" s="1"/>
  <c r="E89" i="6"/>
  <c r="D89" i="11" s="1"/>
  <c r="H89" i="6"/>
  <c r="G89" i="11" s="1"/>
  <c r="I89" i="6"/>
  <c r="H89" i="11" s="1"/>
  <c r="F89" i="6"/>
  <c r="E89" i="11" s="1"/>
  <c r="N93" i="6"/>
  <c r="I88" i="11"/>
  <c r="L92" i="6"/>
  <c r="K78" i="8"/>
  <c r="L77" i="8"/>
  <c r="O94" i="12" l="1"/>
  <c r="M93" i="12"/>
  <c r="F92" i="12"/>
  <c r="K93" i="12"/>
  <c r="D92" i="12"/>
  <c r="G92" i="12"/>
  <c r="N93" i="12"/>
  <c r="Q92" i="12"/>
  <c r="C92" i="12"/>
  <c r="J93" i="12"/>
  <c r="L93" i="12"/>
  <c r="E92" i="12"/>
  <c r="P95" i="12"/>
  <c r="T90" i="12"/>
  <c r="U90" i="12" s="1"/>
  <c r="R91" i="12"/>
  <c r="S91" i="12" s="1"/>
  <c r="B92" i="12" s="1"/>
  <c r="I91" i="12"/>
  <c r="H91" i="12"/>
  <c r="E91" i="12"/>
  <c r="T91" i="12" s="1"/>
  <c r="U91" i="12" s="1"/>
  <c r="AI87" i="12"/>
  <c r="W88" i="6"/>
  <c r="AD88" i="6" s="1"/>
  <c r="Z88" i="6"/>
  <c r="AG88" i="6" s="1"/>
  <c r="AA88" i="6"/>
  <c r="AH88" i="6" s="1"/>
  <c r="Y88" i="6"/>
  <c r="AF88" i="6" s="1"/>
  <c r="X88" i="6"/>
  <c r="AE88" i="6" s="1"/>
  <c r="AB88" i="6"/>
  <c r="AI88" i="6" s="1"/>
  <c r="V88" i="6"/>
  <c r="AC88" i="6" s="1"/>
  <c r="AJ87" i="6"/>
  <c r="I89" i="11"/>
  <c r="R90" i="6"/>
  <c r="S90" i="6" s="1"/>
  <c r="B91" i="6" s="1"/>
  <c r="D90" i="6"/>
  <c r="C90" i="11" s="1"/>
  <c r="G90" i="6"/>
  <c r="F90" i="11" s="1"/>
  <c r="F90" i="6"/>
  <c r="E90" i="11" s="1"/>
  <c r="I90" i="6"/>
  <c r="H90" i="11" s="1"/>
  <c r="E90" i="6"/>
  <c r="D90" i="11" s="1"/>
  <c r="H90" i="6"/>
  <c r="G90" i="11" s="1"/>
  <c r="N94" i="6"/>
  <c r="J92" i="6"/>
  <c r="Q91" i="6"/>
  <c r="C91" i="6" s="1"/>
  <c r="O93" i="6"/>
  <c r="L93" i="6"/>
  <c r="P93" i="6"/>
  <c r="M93" i="6"/>
  <c r="C90" i="6"/>
  <c r="K95" i="6"/>
  <c r="K79" i="8"/>
  <c r="L78" i="8"/>
  <c r="P96" i="12" l="1"/>
  <c r="M94" i="12"/>
  <c r="F93" i="12"/>
  <c r="T92" i="12"/>
  <c r="U92" i="12" s="1"/>
  <c r="D93" i="12"/>
  <c r="K94" i="12"/>
  <c r="R92" i="12"/>
  <c r="S92" i="12" s="1"/>
  <c r="B93" i="12" s="1"/>
  <c r="I92" i="12"/>
  <c r="H92" i="12"/>
  <c r="O95" i="12"/>
  <c r="E93" i="12"/>
  <c r="L94" i="12"/>
  <c r="C93" i="12"/>
  <c r="J94" i="12"/>
  <c r="Q93" i="12"/>
  <c r="N94" i="12"/>
  <c r="G93" i="12"/>
  <c r="X88" i="12"/>
  <c r="AE88" i="12" s="1"/>
  <c r="W88" i="12"/>
  <c r="AD88" i="12" s="1"/>
  <c r="V88" i="12"/>
  <c r="AC88" i="12" s="1"/>
  <c r="Y88" i="12"/>
  <c r="AF88" i="12" s="1"/>
  <c r="AA88" i="12"/>
  <c r="AH88" i="12" s="1"/>
  <c r="Z88" i="12"/>
  <c r="AG88" i="12" s="1"/>
  <c r="AB88" i="12"/>
  <c r="Z89" i="6"/>
  <c r="AG89" i="6" s="1"/>
  <c r="V89" i="6"/>
  <c r="AC89" i="6" s="1"/>
  <c r="W89" i="6"/>
  <c r="AD89" i="6" s="1"/>
  <c r="AA89" i="6"/>
  <c r="AH89" i="6" s="1"/>
  <c r="Y89" i="6"/>
  <c r="AF89" i="6" s="1"/>
  <c r="X89" i="6"/>
  <c r="AE89" i="6" s="1"/>
  <c r="AB89" i="6"/>
  <c r="AI89" i="6" s="1"/>
  <c r="AJ88" i="6"/>
  <c r="N95" i="6"/>
  <c r="L94" i="6"/>
  <c r="B91" i="11"/>
  <c r="M94" i="6"/>
  <c r="R91" i="6"/>
  <c r="S91" i="6" s="1"/>
  <c r="B92" i="6" s="1"/>
  <c r="D91" i="6"/>
  <c r="C91" i="11" s="1"/>
  <c r="G91" i="6"/>
  <c r="F91" i="11" s="1"/>
  <c r="E91" i="6"/>
  <c r="D91" i="11" s="1"/>
  <c r="F91" i="6"/>
  <c r="E91" i="11" s="1"/>
  <c r="I91" i="6"/>
  <c r="H91" i="11" s="1"/>
  <c r="H91" i="6"/>
  <c r="G91" i="11" s="1"/>
  <c r="K96" i="6"/>
  <c r="B90" i="11"/>
  <c r="I90" i="11" s="1"/>
  <c r="O94" i="6"/>
  <c r="J93" i="6"/>
  <c r="Q92" i="6"/>
  <c r="C92" i="6" s="1"/>
  <c r="P94" i="6"/>
  <c r="K80" i="8"/>
  <c r="L79" i="8"/>
  <c r="L95" i="12" l="1"/>
  <c r="O96" i="12"/>
  <c r="R93" i="12"/>
  <c r="S93" i="12" s="1"/>
  <c r="B94" i="12" s="1"/>
  <c r="I93" i="12"/>
  <c r="H93" i="12"/>
  <c r="T93" i="12" s="1"/>
  <c r="U93" i="12" s="1"/>
  <c r="K95" i="12"/>
  <c r="N95" i="12"/>
  <c r="M95" i="12"/>
  <c r="Q94" i="12"/>
  <c r="J95" i="12"/>
  <c r="P97" i="12"/>
  <c r="AI88" i="12"/>
  <c r="AB89" i="12"/>
  <c r="W89" i="12"/>
  <c r="AD89" i="12" s="1"/>
  <c r="V89" i="12"/>
  <c r="AC89" i="12" s="1"/>
  <c r="X89" i="12"/>
  <c r="AE89" i="12" s="1"/>
  <c r="Z89" i="12"/>
  <c r="AG89" i="12" s="1"/>
  <c r="Y89" i="12"/>
  <c r="AF89" i="12" s="1"/>
  <c r="AA89" i="12"/>
  <c r="AH89" i="12" s="1"/>
  <c r="W90" i="6"/>
  <c r="AD90" i="6" s="1"/>
  <c r="AA90" i="6"/>
  <c r="AH90" i="6" s="1"/>
  <c r="Y90" i="6"/>
  <c r="AF90" i="6" s="1"/>
  <c r="X90" i="6"/>
  <c r="AE90" i="6" s="1"/>
  <c r="Z90" i="6"/>
  <c r="AG90" i="6" s="1"/>
  <c r="V90" i="6"/>
  <c r="AC90" i="6" s="1"/>
  <c r="AB90" i="6"/>
  <c r="AI90" i="6" s="1"/>
  <c r="AJ89" i="6"/>
  <c r="B92" i="11"/>
  <c r="K97" i="6"/>
  <c r="M95" i="6"/>
  <c r="P95" i="6"/>
  <c r="R92" i="6"/>
  <c r="S92" i="6" s="1"/>
  <c r="B93" i="6" s="1"/>
  <c r="D92" i="6"/>
  <c r="C92" i="11" s="1"/>
  <c r="G92" i="6"/>
  <c r="F92" i="11" s="1"/>
  <c r="I92" i="6"/>
  <c r="H92" i="11" s="1"/>
  <c r="E92" i="6"/>
  <c r="D92" i="11" s="1"/>
  <c r="F92" i="6"/>
  <c r="E92" i="11" s="1"/>
  <c r="H92" i="6"/>
  <c r="G92" i="11" s="1"/>
  <c r="I91" i="11"/>
  <c r="J94" i="6"/>
  <c r="Q93" i="6"/>
  <c r="C93" i="6" s="1"/>
  <c r="O95" i="6"/>
  <c r="L95" i="6"/>
  <c r="N96" i="6"/>
  <c r="K81" i="8"/>
  <c r="L80" i="8"/>
  <c r="R94" i="12" l="1"/>
  <c r="S94" i="12"/>
  <c r="B95" i="12" s="1"/>
  <c r="I94" i="12"/>
  <c r="H94" i="12"/>
  <c r="F94" i="12"/>
  <c r="M96" i="12"/>
  <c r="F95" i="12"/>
  <c r="G95" i="12"/>
  <c r="N96" i="12"/>
  <c r="P98" i="12"/>
  <c r="D94" i="12"/>
  <c r="C94" i="12"/>
  <c r="K96" i="12"/>
  <c r="E94" i="12"/>
  <c r="G94" i="12"/>
  <c r="O97" i="12"/>
  <c r="J96" i="12"/>
  <c r="Q95" i="12"/>
  <c r="E95" i="12"/>
  <c r="L96" i="12"/>
  <c r="W91" i="12"/>
  <c r="AD91" i="12" s="1"/>
  <c r="V91" i="12"/>
  <c r="AC91" i="12" s="1"/>
  <c r="Y91" i="12"/>
  <c r="AF91" i="12" s="1"/>
  <c r="X91" i="12"/>
  <c r="AE91" i="12" s="1"/>
  <c r="AB91" i="12"/>
  <c r="Z91" i="12"/>
  <c r="AG91" i="12" s="1"/>
  <c r="AA91" i="12"/>
  <c r="AH91" i="12" s="1"/>
  <c r="Z90" i="12"/>
  <c r="AG90" i="12" s="1"/>
  <c r="Y90" i="12"/>
  <c r="AF90" i="12" s="1"/>
  <c r="AA90" i="12"/>
  <c r="AH90" i="12" s="1"/>
  <c r="X90" i="12"/>
  <c r="AE90" i="12" s="1"/>
  <c r="W90" i="12"/>
  <c r="AD90" i="12" s="1"/>
  <c r="V90" i="12"/>
  <c r="AC90" i="12" s="1"/>
  <c r="AB90" i="12"/>
  <c r="AI89" i="12"/>
  <c r="W91" i="6"/>
  <c r="AD91" i="6" s="1"/>
  <c r="AB91" i="6"/>
  <c r="AI91" i="6" s="1"/>
  <c r="AA91" i="6"/>
  <c r="AH91" i="6" s="1"/>
  <c r="Y91" i="6"/>
  <c r="AF91" i="6" s="1"/>
  <c r="X91" i="6"/>
  <c r="AE91" i="6" s="1"/>
  <c r="Z91" i="6"/>
  <c r="AG91" i="6" s="1"/>
  <c r="V91" i="6"/>
  <c r="AC91" i="6" s="1"/>
  <c r="AJ90" i="6"/>
  <c r="J95" i="6"/>
  <c r="Q94" i="6"/>
  <c r="C94" i="6" s="1"/>
  <c r="N97" i="6"/>
  <c r="L96" i="6"/>
  <c r="M96" i="6"/>
  <c r="O96" i="6"/>
  <c r="B93" i="11"/>
  <c r="I92" i="11"/>
  <c r="P96" i="6"/>
  <c r="K98" i="6"/>
  <c r="R93" i="6"/>
  <c r="S93" i="6" s="1"/>
  <c r="B94" i="6" s="1"/>
  <c r="D93" i="6"/>
  <c r="C93" i="11" s="1"/>
  <c r="G93" i="6"/>
  <c r="F93" i="11" s="1"/>
  <c r="I93" i="6"/>
  <c r="H93" i="11" s="1"/>
  <c r="E93" i="6"/>
  <c r="D93" i="11" s="1"/>
  <c r="H93" i="6"/>
  <c r="G93" i="11" s="1"/>
  <c r="F93" i="6"/>
  <c r="E93" i="11" s="1"/>
  <c r="K82" i="8"/>
  <c r="L81" i="8"/>
  <c r="R95" i="12" l="1"/>
  <c r="S95" i="12" s="1"/>
  <c r="B96" i="12" s="1"/>
  <c r="I95" i="12"/>
  <c r="H95" i="12"/>
  <c r="K97" i="12"/>
  <c r="D96" i="12"/>
  <c r="D95" i="12"/>
  <c r="M97" i="12"/>
  <c r="Q96" i="12"/>
  <c r="C96" i="12"/>
  <c r="J97" i="12"/>
  <c r="L97" i="12"/>
  <c r="E96" i="12"/>
  <c r="T94" i="12"/>
  <c r="U94" i="12" s="1"/>
  <c r="C95" i="12"/>
  <c r="T95" i="12" s="1"/>
  <c r="U95" i="12" s="1"/>
  <c r="O98" i="12"/>
  <c r="P99" i="12"/>
  <c r="G96" i="12"/>
  <c r="N97" i="12"/>
  <c r="AI90" i="12"/>
  <c r="AI91" i="12"/>
  <c r="W92" i="6"/>
  <c r="AD92" i="6" s="1"/>
  <c r="AA92" i="6"/>
  <c r="AH92" i="6" s="1"/>
  <c r="AB92" i="6"/>
  <c r="AI92" i="6" s="1"/>
  <c r="Y92" i="6"/>
  <c r="AF92" i="6" s="1"/>
  <c r="X92" i="6"/>
  <c r="AE92" i="6" s="1"/>
  <c r="Z92" i="6"/>
  <c r="AG92" i="6" s="1"/>
  <c r="V92" i="6"/>
  <c r="AC92" i="6" s="1"/>
  <c r="AJ91" i="6"/>
  <c r="P97" i="6"/>
  <c r="L97" i="6"/>
  <c r="I93" i="11"/>
  <c r="N98" i="6"/>
  <c r="B94" i="11"/>
  <c r="O97" i="6"/>
  <c r="R94" i="6"/>
  <c r="S94" i="6" s="1"/>
  <c r="B95" i="6" s="1"/>
  <c r="D94" i="6"/>
  <c r="C94" i="11" s="1"/>
  <c r="G94" i="6"/>
  <c r="F94" i="11" s="1"/>
  <c r="I94" i="6"/>
  <c r="H94" i="11" s="1"/>
  <c r="H94" i="6"/>
  <c r="G94" i="11" s="1"/>
  <c r="F94" i="6"/>
  <c r="E94" i="11" s="1"/>
  <c r="E94" i="6"/>
  <c r="D94" i="11" s="1"/>
  <c r="M97" i="6"/>
  <c r="K99" i="6"/>
  <c r="J96" i="6"/>
  <c r="Q95" i="6"/>
  <c r="K83" i="8"/>
  <c r="L82" i="8"/>
  <c r="M98" i="12" l="1"/>
  <c r="N98" i="12"/>
  <c r="E97" i="12"/>
  <c r="L98" i="12"/>
  <c r="D97" i="12"/>
  <c r="K98" i="12"/>
  <c r="P100" i="12"/>
  <c r="Q97" i="12"/>
  <c r="J98" i="12"/>
  <c r="T96" i="12"/>
  <c r="U96" i="12" s="1"/>
  <c r="R96" i="12"/>
  <c r="S96" i="12"/>
  <c r="B97" i="12" s="1"/>
  <c r="I96" i="12"/>
  <c r="H96" i="12"/>
  <c r="O99" i="12"/>
  <c r="F96" i="12"/>
  <c r="AA92" i="12"/>
  <c r="AH92" i="12" s="1"/>
  <c r="V92" i="12"/>
  <c r="AC92" i="12" s="1"/>
  <c r="AB92" i="12"/>
  <c r="W92" i="12"/>
  <c r="AD92" i="12" s="1"/>
  <c r="Y92" i="12"/>
  <c r="AF92" i="12" s="1"/>
  <c r="Z92" i="12"/>
  <c r="AG92" i="12" s="1"/>
  <c r="X92" i="12"/>
  <c r="AE92" i="12" s="1"/>
  <c r="AJ92" i="6"/>
  <c r="W93" i="6"/>
  <c r="AD93" i="6" s="1"/>
  <c r="AA93" i="6"/>
  <c r="AH93" i="6" s="1"/>
  <c r="AB93" i="6"/>
  <c r="AI93" i="6" s="1"/>
  <c r="Z93" i="6"/>
  <c r="AG93" i="6" s="1"/>
  <c r="V93" i="6"/>
  <c r="AC93" i="6" s="1"/>
  <c r="Y93" i="6"/>
  <c r="AF93" i="6" s="1"/>
  <c r="X93" i="6"/>
  <c r="AE93" i="6" s="1"/>
  <c r="J97" i="6"/>
  <c r="Q96" i="6"/>
  <c r="C96" i="6" s="1"/>
  <c r="N99" i="6"/>
  <c r="K100" i="6"/>
  <c r="I94" i="11"/>
  <c r="R95" i="6"/>
  <c r="S95" i="6" s="1"/>
  <c r="B96" i="6" s="1"/>
  <c r="D95" i="6"/>
  <c r="C95" i="11" s="1"/>
  <c r="G95" i="6"/>
  <c r="F95" i="11" s="1"/>
  <c r="F95" i="6"/>
  <c r="E95" i="11" s="1"/>
  <c r="I95" i="6"/>
  <c r="H95" i="11" s="1"/>
  <c r="H95" i="6"/>
  <c r="G95" i="11" s="1"/>
  <c r="E95" i="6"/>
  <c r="D95" i="11" s="1"/>
  <c r="M98" i="6"/>
  <c r="O98" i="6"/>
  <c r="L98" i="6"/>
  <c r="C95" i="6"/>
  <c r="P98" i="6"/>
  <c r="K84" i="8"/>
  <c r="L83" i="8"/>
  <c r="K99" i="12" l="1"/>
  <c r="L99" i="12"/>
  <c r="Q98" i="12"/>
  <c r="C98" i="12"/>
  <c r="J99" i="12"/>
  <c r="O100" i="12"/>
  <c r="R97" i="12"/>
  <c r="S97" i="12" s="1"/>
  <c r="B98" i="12" s="1"/>
  <c r="I97" i="12"/>
  <c r="H97" i="12"/>
  <c r="G98" i="12"/>
  <c r="N99" i="12"/>
  <c r="C97" i="12"/>
  <c r="T97" i="12" s="1"/>
  <c r="U97" i="12" s="1"/>
  <c r="G97" i="12"/>
  <c r="M99" i="12"/>
  <c r="P101" i="12"/>
  <c r="F97" i="12"/>
  <c r="Y93" i="12"/>
  <c r="AF93" i="12" s="1"/>
  <c r="X93" i="12"/>
  <c r="AE93" i="12" s="1"/>
  <c r="AA93" i="12"/>
  <c r="AH93" i="12" s="1"/>
  <c r="Z93" i="12"/>
  <c r="AG93" i="12" s="1"/>
  <c r="W93" i="12"/>
  <c r="AD93" i="12" s="1"/>
  <c r="V93" i="12"/>
  <c r="AC93" i="12" s="1"/>
  <c r="AB93" i="12"/>
  <c r="AI92" i="12"/>
  <c r="W94" i="6"/>
  <c r="AD94" i="6" s="1"/>
  <c r="AA94" i="6"/>
  <c r="AH94" i="6" s="1"/>
  <c r="AB94" i="6"/>
  <c r="AI94" i="6" s="1"/>
  <c r="Z94" i="6"/>
  <c r="AG94" i="6" s="1"/>
  <c r="V94" i="6"/>
  <c r="AC94" i="6" s="1"/>
  <c r="Y94" i="6"/>
  <c r="AF94" i="6" s="1"/>
  <c r="X94" i="6"/>
  <c r="AE94" i="6" s="1"/>
  <c r="AJ93" i="6"/>
  <c r="P99" i="6"/>
  <c r="M99" i="6"/>
  <c r="B95" i="11"/>
  <c r="I95" i="11" s="1"/>
  <c r="R96" i="6"/>
  <c r="S96" i="6" s="1"/>
  <c r="B97" i="6" s="1"/>
  <c r="D96" i="6"/>
  <c r="C96" i="11" s="1"/>
  <c r="G96" i="6"/>
  <c r="F96" i="11" s="1"/>
  <c r="E96" i="6"/>
  <c r="D96" i="11" s="1"/>
  <c r="I96" i="6"/>
  <c r="H96" i="11" s="1"/>
  <c r="H96" i="6"/>
  <c r="G96" i="11" s="1"/>
  <c r="F96" i="6"/>
  <c r="E96" i="11" s="1"/>
  <c r="K101" i="6"/>
  <c r="N100" i="6"/>
  <c r="L99" i="6"/>
  <c r="B96" i="11"/>
  <c r="O99" i="6"/>
  <c r="J98" i="6"/>
  <c r="Q97" i="6"/>
  <c r="C97" i="6" s="1"/>
  <c r="K85" i="8"/>
  <c r="L84" i="8"/>
  <c r="O101" i="12" l="1"/>
  <c r="N100" i="12"/>
  <c r="Q99" i="12"/>
  <c r="J100" i="12"/>
  <c r="AI93" i="12"/>
  <c r="P102" i="12"/>
  <c r="R98" i="12"/>
  <c r="S98" i="12"/>
  <c r="B99" i="12" s="1"/>
  <c r="I98" i="12"/>
  <c r="H98" i="12"/>
  <c r="E98" i="12"/>
  <c r="M100" i="12"/>
  <c r="L100" i="12"/>
  <c r="F98" i="12"/>
  <c r="D98" i="12"/>
  <c r="T98" i="12" s="1"/>
  <c r="U98" i="12" s="1"/>
  <c r="K100" i="12"/>
  <c r="AA95" i="12"/>
  <c r="AH95" i="12" s="1"/>
  <c r="Z95" i="12"/>
  <c r="AG95" i="12" s="1"/>
  <c r="V95" i="12"/>
  <c r="AC95" i="12" s="1"/>
  <c r="AB95" i="12"/>
  <c r="W95" i="12"/>
  <c r="AD95" i="12" s="1"/>
  <c r="X95" i="12"/>
  <c r="AE95" i="12" s="1"/>
  <c r="Y95" i="12"/>
  <c r="AF95" i="12" s="1"/>
  <c r="V94" i="12"/>
  <c r="AC94" i="12" s="1"/>
  <c r="AB94" i="12"/>
  <c r="Y94" i="12"/>
  <c r="AF94" i="12" s="1"/>
  <c r="X94" i="12"/>
  <c r="AE94" i="12" s="1"/>
  <c r="W94" i="12"/>
  <c r="AD94" i="12" s="1"/>
  <c r="Z94" i="12"/>
  <c r="AG94" i="12" s="1"/>
  <c r="AA94" i="12"/>
  <c r="AH94" i="12" s="1"/>
  <c r="W95" i="6"/>
  <c r="AD95" i="6" s="1"/>
  <c r="AB95" i="6"/>
  <c r="AI95" i="6" s="1"/>
  <c r="AA95" i="6"/>
  <c r="AH95" i="6" s="1"/>
  <c r="Z95" i="6"/>
  <c r="AG95" i="6" s="1"/>
  <c r="V95" i="6"/>
  <c r="AC95" i="6" s="1"/>
  <c r="Y95" i="6"/>
  <c r="AF95" i="6" s="1"/>
  <c r="X95" i="6"/>
  <c r="AE95" i="6" s="1"/>
  <c r="AJ94" i="6"/>
  <c r="O100" i="6"/>
  <c r="K102" i="6"/>
  <c r="J99" i="6"/>
  <c r="Q98" i="6"/>
  <c r="C98" i="6" s="1"/>
  <c r="N101" i="6"/>
  <c r="I96" i="11"/>
  <c r="P100" i="6"/>
  <c r="M100" i="6"/>
  <c r="B97" i="11"/>
  <c r="L100" i="6"/>
  <c r="R97" i="6"/>
  <c r="S97" i="6" s="1"/>
  <c r="B98" i="6" s="1"/>
  <c r="D97" i="6"/>
  <c r="C97" i="11" s="1"/>
  <c r="G97" i="6"/>
  <c r="F97" i="11" s="1"/>
  <c r="H97" i="6"/>
  <c r="G97" i="11" s="1"/>
  <c r="E97" i="6"/>
  <c r="D97" i="11" s="1"/>
  <c r="F97" i="6"/>
  <c r="E97" i="11" s="1"/>
  <c r="I97" i="6"/>
  <c r="H97" i="11" s="1"/>
  <c r="K86" i="8"/>
  <c r="L85" i="8"/>
  <c r="R99" i="12" l="1"/>
  <c r="S99" i="12" s="1"/>
  <c r="B100" i="12" s="1"/>
  <c r="I99" i="12"/>
  <c r="H99" i="12"/>
  <c r="D100" i="12"/>
  <c r="K101" i="12"/>
  <c r="D99" i="12"/>
  <c r="Q100" i="12"/>
  <c r="J101" i="12"/>
  <c r="C99" i="12"/>
  <c r="T99" i="12" s="1"/>
  <c r="U99" i="12" s="1"/>
  <c r="G99" i="12"/>
  <c r="M101" i="12"/>
  <c r="F100" i="12"/>
  <c r="O102" i="12"/>
  <c r="L101" i="12"/>
  <c r="E99" i="12"/>
  <c r="P103" i="12"/>
  <c r="G100" i="12"/>
  <c r="N101" i="12"/>
  <c r="F99" i="12"/>
  <c r="AI95" i="12"/>
  <c r="AI94" i="12"/>
  <c r="AJ95" i="6"/>
  <c r="W96" i="6"/>
  <c r="AD96" i="6" s="1"/>
  <c r="AB96" i="6"/>
  <c r="AI96" i="6" s="1"/>
  <c r="Z96" i="6"/>
  <c r="AG96" i="6" s="1"/>
  <c r="X96" i="6"/>
  <c r="AE96" i="6" s="1"/>
  <c r="AA96" i="6"/>
  <c r="AH96" i="6" s="1"/>
  <c r="V96" i="6"/>
  <c r="AC96" i="6" s="1"/>
  <c r="Y96" i="6"/>
  <c r="AF96" i="6" s="1"/>
  <c r="I97" i="11"/>
  <c r="B98" i="11"/>
  <c r="N102" i="6"/>
  <c r="J100" i="6"/>
  <c r="Q99" i="6"/>
  <c r="C99" i="6" s="1"/>
  <c r="P101" i="6"/>
  <c r="R98" i="6"/>
  <c r="S98" i="6" s="1"/>
  <c r="B99" i="6" s="1"/>
  <c r="D98" i="6"/>
  <c r="C98" i="11" s="1"/>
  <c r="G98" i="6"/>
  <c r="F98" i="11" s="1"/>
  <c r="I98" i="6"/>
  <c r="H98" i="11" s="1"/>
  <c r="E98" i="6"/>
  <c r="D98" i="11" s="1"/>
  <c r="F98" i="6"/>
  <c r="E98" i="11" s="1"/>
  <c r="H98" i="6"/>
  <c r="G98" i="11" s="1"/>
  <c r="M101" i="6"/>
  <c r="K103" i="6"/>
  <c r="L101" i="6"/>
  <c r="O101" i="6"/>
  <c r="K87" i="8"/>
  <c r="L86" i="8"/>
  <c r="K102" i="12" l="1"/>
  <c r="M102" i="12"/>
  <c r="O103" i="12"/>
  <c r="R100" i="12"/>
  <c r="S100" i="12"/>
  <c r="B101" i="12" s="1"/>
  <c r="I100" i="12"/>
  <c r="H100" i="12"/>
  <c r="N102" i="12"/>
  <c r="P104" i="12"/>
  <c r="L102" i="12"/>
  <c r="C100" i="12"/>
  <c r="T100" i="12" s="1"/>
  <c r="U100" i="12" s="1"/>
  <c r="E100" i="12"/>
  <c r="J102" i="12"/>
  <c r="Q101" i="12"/>
  <c r="F101" i="12" s="1"/>
  <c r="X96" i="12"/>
  <c r="AE96" i="12" s="1"/>
  <c r="Y96" i="12"/>
  <c r="AF96" i="12" s="1"/>
  <c r="W96" i="12"/>
  <c r="AD96" i="12" s="1"/>
  <c r="V96" i="12"/>
  <c r="AC96" i="12" s="1"/>
  <c r="AB96" i="12"/>
  <c r="AA96" i="12"/>
  <c r="AH96" i="12" s="1"/>
  <c r="Z96" i="12"/>
  <c r="AG96" i="12" s="1"/>
  <c r="W97" i="6"/>
  <c r="AD97" i="6" s="1"/>
  <c r="Z97" i="6"/>
  <c r="AG97" i="6" s="1"/>
  <c r="V97" i="6"/>
  <c r="AC97" i="6" s="1"/>
  <c r="AB97" i="6"/>
  <c r="AI97" i="6" s="1"/>
  <c r="Y97" i="6"/>
  <c r="AF97" i="6" s="1"/>
  <c r="X97" i="6"/>
  <c r="AE97" i="6" s="1"/>
  <c r="AA97" i="6"/>
  <c r="AH97" i="6" s="1"/>
  <c r="AJ96" i="6"/>
  <c r="O102" i="6"/>
  <c r="B99" i="11"/>
  <c r="K104" i="6"/>
  <c r="N103" i="6"/>
  <c r="M102" i="6"/>
  <c r="R99" i="6"/>
  <c r="S99" i="6" s="1"/>
  <c r="B100" i="6" s="1"/>
  <c r="D99" i="6"/>
  <c r="C99" i="11" s="1"/>
  <c r="G99" i="6"/>
  <c r="F99" i="11" s="1"/>
  <c r="E99" i="6"/>
  <c r="D99" i="11" s="1"/>
  <c r="F99" i="6"/>
  <c r="E99" i="11" s="1"/>
  <c r="H99" i="6"/>
  <c r="G99" i="11" s="1"/>
  <c r="I99" i="6"/>
  <c r="H99" i="11" s="1"/>
  <c r="L102" i="6"/>
  <c r="J101" i="6"/>
  <c r="Q100" i="6"/>
  <c r="C100" i="6" s="1"/>
  <c r="P102" i="6"/>
  <c r="I98" i="11"/>
  <c r="K88" i="8"/>
  <c r="L87" i="8"/>
  <c r="L103" i="12" l="1"/>
  <c r="E101" i="12"/>
  <c r="P105" i="12"/>
  <c r="O104" i="12"/>
  <c r="C101" i="12"/>
  <c r="G101" i="12"/>
  <c r="R101" i="12"/>
  <c r="S101" i="12"/>
  <c r="B102" i="12" s="1"/>
  <c r="I101" i="12"/>
  <c r="H101" i="12"/>
  <c r="Q102" i="12"/>
  <c r="G102" i="12" s="1"/>
  <c r="J103" i="12"/>
  <c r="N103" i="12"/>
  <c r="M103" i="12"/>
  <c r="D101" i="12"/>
  <c r="K103" i="12"/>
  <c r="AB97" i="12"/>
  <c r="Z97" i="12"/>
  <c r="AG97" i="12" s="1"/>
  <c r="Y97" i="12"/>
  <c r="AF97" i="12" s="1"/>
  <c r="V97" i="12"/>
  <c r="AC97" i="12" s="1"/>
  <c r="X97" i="12"/>
  <c r="AE97" i="12" s="1"/>
  <c r="W97" i="12"/>
  <c r="AD97" i="12" s="1"/>
  <c r="AA97" i="12"/>
  <c r="AH97" i="12" s="1"/>
  <c r="AI96" i="12"/>
  <c r="W98" i="6"/>
  <c r="AD98" i="6" s="1"/>
  <c r="Y98" i="6"/>
  <c r="AF98" i="6" s="1"/>
  <c r="X98" i="6"/>
  <c r="AE98" i="6" s="1"/>
  <c r="Z98" i="6"/>
  <c r="AG98" i="6" s="1"/>
  <c r="V98" i="6"/>
  <c r="AC98" i="6" s="1"/>
  <c r="AB98" i="6"/>
  <c r="AI98" i="6" s="1"/>
  <c r="AA98" i="6"/>
  <c r="AH98" i="6" s="1"/>
  <c r="AJ97" i="6"/>
  <c r="B100" i="11"/>
  <c r="N104" i="6"/>
  <c r="R100" i="6"/>
  <c r="S100" i="6" s="1"/>
  <c r="B101" i="6" s="1"/>
  <c r="D100" i="6"/>
  <c r="C100" i="11" s="1"/>
  <c r="G100" i="6"/>
  <c r="F100" i="11" s="1"/>
  <c r="H100" i="6"/>
  <c r="G100" i="11" s="1"/>
  <c r="I100" i="6"/>
  <c r="H100" i="11" s="1"/>
  <c r="F100" i="6"/>
  <c r="E100" i="11" s="1"/>
  <c r="E100" i="6"/>
  <c r="D100" i="11" s="1"/>
  <c r="I99" i="11"/>
  <c r="P103" i="6"/>
  <c r="J102" i="6"/>
  <c r="Q101" i="6"/>
  <c r="K105" i="6"/>
  <c r="L103" i="6"/>
  <c r="M103" i="6"/>
  <c r="O103" i="6"/>
  <c r="K89" i="8"/>
  <c r="K90" i="8" s="1"/>
  <c r="L88" i="8"/>
  <c r="J104" i="12" l="1"/>
  <c r="Q103" i="12"/>
  <c r="C103" i="12"/>
  <c r="T101" i="12"/>
  <c r="U101" i="12" s="1"/>
  <c r="K104" i="12"/>
  <c r="D103" i="12"/>
  <c r="C102" i="12"/>
  <c r="O105" i="12"/>
  <c r="D102" i="12"/>
  <c r="P106" i="12"/>
  <c r="F102" i="12"/>
  <c r="F103" i="12"/>
  <c r="M104" i="12"/>
  <c r="E103" i="12"/>
  <c r="L104" i="12"/>
  <c r="R102" i="12"/>
  <c r="S102" i="12"/>
  <c r="B103" i="12" s="1"/>
  <c r="I102" i="12"/>
  <c r="H102" i="12"/>
  <c r="G103" i="12"/>
  <c r="N104" i="12"/>
  <c r="E102" i="12"/>
  <c r="AI97" i="12"/>
  <c r="Z98" i="12"/>
  <c r="AG98" i="12" s="1"/>
  <c r="AA98" i="12"/>
  <c r="AH98" i="12" s="1"/>
  <c r="AB98" i="12"/>
  <c r="Y98" i="12"/>
  <c r="AF98" i="12" s="1"/>
  <c r="X98" i="12"/>
  <c r="AE98" i="12" s="1"/>
  <c r="W98" i="12"/>
  <c r="AD98" i="12" s="1"/>
  <c r="V98" i="12"/>
  <c r="AC98" i="12" s="1"/>
  <c r="W99" i="6"/>
  <c r="AD99" i="6" s="1"/>
  <c r="AB99" i="6"/>
  <c r="AI99" i="6" s="1"/>
  <c r="Y99" i="6"/>
  <c r="AF99" i="6" s="1"/>
  <c r="X99" i="6"/>
  <c r="AE99" i="6" s="1"/>
  <c r="Z99" i="6"/>
  <c r="AG99" i="6" s="1"/>
  <c r="V99" i="6"/>
  <c r="AC99" i="6" s="1"/>
  <c r="AA99" i="6"/>
  <c r="AH99" i="6" s="1"/>
  <c r="AJ98" i="6"/>
  <c r="R101" i="6"/>
  <c r="S101" i="6" s="1"/>
  <c r="B102" i="6" s="1"/>
  <c r="D101" i="6"/>
  <c r="C101" i="11" s="1"/>
  <c r="G101" i="6"/>
  <c r="F101" i="11" s="1"/>
  <c r="E101" i="6"/>
  <c r="D101" i="11" s="1"/>
  <c r="I101" i="6"/>
  <c r="H101" i="11" s="1"/>
  <c r="H101" i="6"/>
  <c r="G101" i="11" s="1"/>
  <c r="F101" i="6"/>
  <c r="E101" i="11" s="1"/>
  <c r="J103" i="6"/>
  <c r="Q102" i="6"/>
  <c r="C102" i="6"/>
  <c r="I100" i="11"/>
  <c r="M104" i="6"/>
  <c r="L104" i="6"/>
  <c r="P104" i="6"/>
  <c r="N105" i="6"/>
  <c r="K106" i="6"/>
  <c r="O104" i="6"/>
  <c r="C101" i="6"/>
  <c r="L89" i="8"/>
  <c r="M105" i="12" l="1"/>
  <c r="T102" i="12"/>
  <c r="U102" i="12" s="1"/>
  <c r="O106" i="12"/>
  <c r="N105" i="12"/>
  <c r="G104" i="12"/>
  <c r="D104" i="12"/>
  <c r="K105" i="12"/>
  <c r="P107" i="12"/>
  <c r="R103" i="12"/>
  <c r="S103" i="12" s="1"/>
  <c r="B104" i="12" s="1"/>
  <c r="I103" i="12"/>
  <c r="H103" i="12"/>
  <c r="T103" i="12" s="1"/>
  <c r="U103" i="12" s="1"/>
  <c r="L105" i="12"/>
  <c r="Q104" i="12"/>
  <c r="C104" i="12"/>
  <c r="J105" i="12"/>
  <c r="AI98" i="12"/>
  <c r="W99" i="12"/>
  <c r="AD99" i="12" s="1"/>
  <c r="V99" i="12"/>
  <c r="AC99" i="12" s="1"/>
  <c r="AB99" i="12"/>
  <c r="X99" i="12"/>
  <c r="AE99" i="12" s="1"/>
  <c r="Y99" i="12"/>
  <c r="AF99" i="12" s="1"/>
  <c r="AA99" i="12"/>
  <c r="AH99" i="12" s="1"/>
  <c r="Z99" i="12"/>
  <c r="AG99" i="12" s="1"/>
  <c r="AA100" i="6"/>
  <c r="AH100" i="6" s="1"/>
  <c r="W100" i="6"/>
  <c r="AD100" i="6" s="1"/>
  <c r="AB100" i="6"/>
  <c r="AI100" i="6" s="1"/>
  <c r="Y100" i="6"/>
  <c r="AF100" i="6" s="1"/>
  <c r="X100" i="6"/>
  <c r="AE100" i="6" s="1"/>
  <c r="Z100" i="6"/>
  <c r="AG100" i="6" s="1"/>
  <c r="V100" i="6"/>
  <c r="AC100" i="6" s="1"/>
  <c r="AJ99" i="6"/>
  <c r="J104" i="6"/>
  <c r="Q103" i="6"/>
  <c r="C103" i="6" s="1"/>
  <c r="B101" i="11"/>
  <c r="I101" i="11" s="1"/>
  <c r="P105" i="6"/>
  <c r="L105" i="6"/>
  <c r="K107" i="6"/>
  <c r="B102" i="11"/>
  <c r="O105" i="6"/>
  <c r="M105" i="6"/>
  <c r="N106" i="6"/>
  <c r="R102" i="6"/>
  <c r="S102" i="6" s="1"/>
  <c r="B103" i="6" s="1"/>
  <c r="D102" i="6"/>
  <c r="C102" i="11" s="1"/>
  <c r="G102" i="6"/>
  <c r="F102" i="11" s="1"/>
  <c r="I102" i="6"/>
  <c r="H102" i="11" s="1"/>
  <c r="H102" i="6"/>
  <c r="G102" i="11" s="1"/>
  <c r="E102" i="6"/>
  <c r="D102" i="11" s="1"/>
  <c r="F102" i="6"/>
  <c r="E102" i="11" s="1"/>
  <c r="K91" i="8"/>
  <c r="L90" i="8"/>
  <c r="AJ100" i="6" l="1"/>
  <c r="N106" i="12"/>
  <c r="J106" i="12"/>
  <c r="Q105" i="12"/>
  <c r="C105" i="12"/>
  <c r="O107" i="12"/>
  <c r="R104" i="12"/>
  <c r="S104" i="12"/>
  <c r="B105" i="12" s="1"/>
  <c r="I104" i="12"/>
  <c r="H104" i="12"/>
  <c r="E105" i="12"/>
  <c r="L106" i="12"/>
  <c r="F104" i="12"/>
  <c r="T104" i="12" s="1"/>
  <c r="U104" i="12" s="1"/>
  <c r="P108" i="12"/>
  <c r="E104" i="12"/>
  <c r="K106" i="12"/>
  <c r="D105" i="12"/>
  <c r="F105" i="12"/>
  <c r="M106" i="12"/>
  <c r="AI99" i="12"/>
  <c r="AB100" i="12"/>
  <c r="X100" i="12"/>
  <c r="AE100" i="12" s="1"/>
  <c r="W100" i="12"/>
  <c r="AD100" i="12" s="1"/>
  <c r="Z100" i="12"/>
  <c r="AG100" i="12" s="1"/>
  <c r="V100" i="12"/>
  <c r="AC100" i="12" s="1"/>
  <c r="Y100" i="12"/>
  <c r="AF100" i="12" s="1"/>
  <c r="AA100" i="12"/>
  <c r="AH100" i="12" s="1"/>
  <c r="W101" i="6"/>
  <c r="AD101" i="6" s="1"/>
  <c r="AA101" i="6"/>
  <c r="AH101" i="6" s="1"/>
  <c r="AB101" i="6"/>
  <c r="AI101" i="6" s="1"/>
  <c r="Y101" i="6"/>
  <c r="AF101" i="6" s="1"/>
  <c r="X101" i="6"/>
  <c r="AE101" i="6" s="1"/>
  <c r="Z101" i="6"/>
  <c r="AG101" i="6" s="1"/>
  <c r="V101" i="6"/>
  <c r="AC101" i="6" s="1"/>
  <c r="M106" i="6"/>
  <c r="L106" i="6"/>
  <c r="I102" i="11"/>
  <c r="R103" i="6"/>
  <c r="S103" i="6" s="1"/>
  <c r="B104" i="6" s="1"/>
  <c r="D103" i="6"/>
  <c r="C103" i="11" s="1"/>
  <c r="G103" i="6"/>
  <c r="F103" i="11" s="1"/>
  <c r="F103" i="6"/>
  <c r="E103" i="11" s="1"/>
  <c r="E103" i="6"/>
  <c r="D103" i="11" s="1"/>
  <c r="H103" i="6"/>
  <c r="G103" i="11" s="1"/>
  <c r="I103" i="6"/>
  <c r="H103" i="11" s="1"/>
  <c r="P106" i="6"/>
  <c r="O106" i="6"/>
  <c r="B103" i="11"/>
  <c r="N107" i="6"/>
  <c r="K108" i="6"/>
  <c r="J105" i="6"/>
  <c r="Q104" i="6"/>
  <c r="K92" i="8"/>
  <c r="L91" i="8"/>
  <c r="O108" i="12" l="1"/>
  <c r="M107" i="12"/>
  <c r="L107" i="12"/>
  <c r="T105" i="12"/>
  <c r="U105" i="12" s="1"/>
  <c r="R105" i="12"/>
  <c r="S105" i="12" s="1"/>
  <c r="B106" i="12" s="1"/>
  <c r="I105" i="12"/>
  <c r="H105" i="12"/>
  <c r="K107" i="12"/>
  <c r="Q106" i="12"/>
  <c r="G106" i="12" s="1"/>
  <c r="C106" i="12"/>
  <c r="J107" i="12"/>
  <c r="N107" i="12"/>
  <c r="P109" i="12"/>
  <c r="G105" i="12"/>
  <c r="Y101" i="12"/>
  <c r="AF101" i="12" s="1"/>
  <c r="Z101" i="12"/>
  <c r="AG101" i="12" s="1"/>
  <c r="AA101" i="12"/>
  <c r="AH101" i="12" s="1"/>
  <c r="V101" i="12"/>
  <c r="AC101" i="12" s="1"/>
  <c r="AB101" i="12"/>
  <c r="X101" i="12"/>
  <c r="AE101" i="12" s="1"/>
  <c r="W101" i="12"/>
  <c r="AD101" i="12" s="1"/>
  <c r="AI100" i="12"/>
  <c r="W102" i="6"/>
  <c r="AD102" i="6" s="1"/>
  <c r="AA102" i="6"/>
  <c r="AH102" i="6" s="1"/>
  <c r="AB102" i="6"/>
  <c r="AI102" i="6" s="1"/>
  <c r="Y102" i="6"/>
  <c r="AF102" i="6" s="1"/>
  <c r="X102" i="6"/>
  <c r="AE102" i="6" s="1"/>
  <c r="Z102" i="6"/>
  <c r="AG102" i="6" s="1"/>
  <c r="V102" i="6"/>
  <c r="AC102" i="6" s="1"/>
  <c r="AJ101" i="6"/>
  <c r="J106" i="6"/>
  <c r="Q105" i="6"/>
  <c r="C105" i="6" s="1"/>
  <c r="K109" i="6"/>
  <c r="P107" i="6"/>
  <c r="N108" i="6"/>
  <c r="L107" i="6"/>
  <c r="R104" i="6"/>
  <c r="S104" i="6" s="1"/>
  <c r="B105" i="6" s="1"/>
  <c r="D104" i="6"/>
  <c r="C104" i="11" s="1"/>
  <c r="G104" i="6"/>
  <c r="F104" i="11" s="1"/>
  <c r="F104" i="6"/>
  <c r="E104" i="11" s="1"/>
  <c r="H104" i="6"/>
  <c r="G104" i="11" s="1"/>
  <c r="I104" i="6"/>
  <c r="H104" i="11" s="1"/>
  <c r="E104" i="6"/>
  <c r="D104" i="11" s="1"/>
  <c r="O107" i="6"/>
  <c r="I103" i="11"/>
  <c r="C104" i="6"/>
  <c r="M107" i="6"/>
  <c r="K93" i="8"/>
  <c r="L92" i="8"/>
  <c r="D106" i="12" l="1"/>
  <c r="T106" i="12" s="1"/>
  <c r="U106" i="12" s="1"/>
  <c r="F106" i="12"/>
  <c r="F107" i="12"/>
  <c r="M108" i="12"/>
  <c r="J108" i="12"/>
  <c r="Q107" i="12"/>
  <c r="C107" i="12"/>
  <c r="L108" i="12"/>
  <c r="K108" i="12"/>
  <c r="D107" i="12"/>
  <c r="AI101" i="12"/>
  <c r="O109" i="12"/>
  <c r="R106" i="12"/>
  <c r="S106" i="12" s="1"/>
  <c r="B107" i="12" s="1"/>
  <c r="I106" i="12"/>
  <c r="H106" i="12"/>
  <c r="E106" i="12"/>
  <c r="P110" i="12"/>
  <c r="G107" i="12"/>
  <c r="N108" i="12"/>
  <c r="AA103" i="12"/>
  <c r="AH103" i="12" s="1"/>
  <c r="Z103" i="12"/>
  <c r="AG103" i="12" s="1"/>
  <c r="Y103" i="12"/>
  <c r="AF103" i="12" s="1"/>
  <c r="V103" i="12"/>
  <c r="AC103" i="12" s="1"/>
  <c r="X103" i="12"/>
  <c r="AE103" i="12" s="1"/>
  <c r="W103" i="12"/>
  <c r="AD103" i="12" s="1"/>
  <c r="AB103" i="12"/>
  <c r="V102" i="12"/>
  <c r="AC102" i="12" s="1"/>
  <c r="W102" i="12"/>
  <c r="AD102" i="12" s="1"/>
  <c r="AA102" i="12"/>
  <c r="AH102" i="12" s="1"/>
  <c r="Z102" i="12"/>
  <c r="AG102" i="12" s="1"/>
  <c r="X102" i="12"/>
  <c r="AE102" i="12" s="1"/>
  <c r="AB102" i="12"/>
  <c r="Y102" i="12"/>
  <c r="AF102" i="12" s="1"/>
  <c r="AJ102" i="6"/>
  <c r="W103" i="6"/>
  <c r="AD103" i="6" s="1"/>
  <c r="AA103" i="6"/>
  <c r="AH103" i="6" s="1"/>
  <c r="V103" i="6"/>
  <c r="AC103" i="6" s="1"/>
  <c r="AB103" i="6"/>
  <c r="AI103" i="6" s="1"/>
  <c r="Y103" i="6"/>
  <c r="AF103" i="6" s="1"/>
  <c r="X103" i="6"/>
  <c r="AE103" i="6" s="1"/>
  <c r="Z103" i="6"/>
  <c r="AG103" i="6" s="1"/>
  <c r="P108" i="6"/>
  <c r="B104" i="11"/>
  <c r="I104" i="11" s="1"/>
  <c r="K110" i="6"/>
  <c r="L108" i="6"/>
  <c r="R105" i="6"/>
  <c r="S105" i="6" s="1"/>
  <c r="B106" i="6" s="1"/>
  <c r="D105" i="6"/>
  <c r="C105" i="11" s="1"/>
  <c r="G105" i="6"/>
  <c r="F105" i="11" s="1"/>
  <c r="E105" i="6"/>
  <c r="D105" i="11" s="1"/>
  <c r="F105" i="6"/>
  <c r="E105" i="11" s="1"/>
  <c r="I105" i="6"/>
  <c r="H105" i="11" s="1"/>
  <c r="H105" i="6"/>
  <c r="G105" i="11" s="1"/>
  <c r="M108" i="6"/>
  <c r="N109" i="6"/>
  <c r="O108" i="6"/>
  <c r="B105" i="11"/>
  <c r="J107" i="6"/>
  <c r="Q106" i="6"/>
  <c r="K94" i="8"/>
  <c r="L93" i="8"/>
  <c r="AI103" i="12" l="1"/>
  <c r="R107" i="12"/>
  <c r="S107" i="12"/>
  <c r="B108" i="12" s="1"/>
  <c r="I107" i="12"/>
  <c r="H107" i="12"/>
  <c r="N109" i="12"/>
  <c r="G108" i="12"/>
  <c r="P111" i="12"/>
  <c r="O110" i="12"/>
  <c r="Q108" i="12"/>
  <c r="C108" i="12"/>
  <c r="J109" i="12"/>
  <c r="M109" i="12"/>
  <c r="K109" i="12"/>
  <c r="L109" i="12"/>
  <c r="E107" i="12"/>
  <c r="T107" i="12" s="1"/>
  <c r="U107" i="12" s="1"/>
  <c r="X104" i="12"/>
  <c r="AE104" i="12" s="1"/>
  <c r="W104" i="12"/>
  <c r="AD104" i="12" s="1"/>
  <c r="V104" i="12"/>
  <c r="AC104" i="12" s="1"/>
  <c r="Y104" i="12"/>
  <c r="AF104" i="12" s="1"/>
  <c r="AA104" i="12"/>
  <c r="AH104" i="12" s="1"/>
  <c r="AB104" i="12"/>
  <c r="Z104" i="12"/>
  <c r="AG104" i="12" s="1"/>
  <c r="AI102" i="12"/>
  <c r="AJ103" i="6"/>
  <c r="W104" i="6"/>
  <c r="AD104" i="6" s="1"/>
  <c r="AA104" i="6"/>
  <c r="AH104" i="6" s="1"/>
  <c r="Z104" i="6"/>
  <c r="AG104" i="6" s="1"/>
  <c r="V104" i="6"/>
  <c r="AC104" i="6" s="1"/>
  <c r="AB104" i="6"/>
  <c r="AI104" i="6" s="1"/>
  <c r="Y104" i="6"/>
  <c r="AF104" i="6" s="1"/>
  <c r="X104" i="6"/>
  <c r="AE104" i="6" s="1"/>
  <c r="I105" i="11"/>
  <c r="L109" i="6"/>
  <c r="R106" i="6"/>
  <c r="S106" i="6" s="1"/>
  <c r="B107" i="6" s="1"/>
  <c r="D106" i="6"/>
  <c r="C106" i="11" s="1"/>
  <c r="G106" i="6"/>
  <c r="F106" i="11" s="1"/>
  <c r="F106" i="6"/>
  <c r="E106" i="11" s="1"/>
  <c r="E106" i="6"/>
  <c r="D106" i="11" s="1"/>
  <c r="H106" i="6"/>
  <c r="G106" i="11" s="1"/>
  <c r="I106" i="6"/>
  <c r="H106" i="11" s="1"/>
  <c r="P109" i="6"/>
  <c r="J108" i="6"/>
  <c r="Q107" i="6"/>
  <c r="C107" i="6"/>
  <c r="M109" i="6"/>
  <c r="K111" i="6"/>
  <c r="O109" i="6"/>
  <c r="C106" i="6"/>
  <c r="N110" i="6"/>
  <c r="K95" i="8"/>
  <c r="L94" i="8"/>
  <c r="M110" i="12" l="1"/>
  <c r="J110" i="12"/>
  <c r="Q109" i="12"/>
  <c r="C109" i="12"/>
  <c r="G109" i="12"/>
  <c r="N110" i="12"/>
  <c r="E109" i="12"/>
  <c r="L110" i="12"/>
  <c r="AI104" i="12"/>
  <c r="O111" i="12"/>
  <c r="K110" i="12"/>
  <c r="D109" i="12"/>
  <c r="T108" i="12"/>
  <c r="U108" i="12" s="1"/>
  <c r="R108" i="12"/>
  <c r="S108" i="12" s="1"/>
  <c r="B109" i="12" s="1"/>
  <c r="I108" i="12"/>
  <c r="H108" i="12"/>
  <c r="E108" i="12"/>
  <c r="D108" i="12"/>
  <c r="P112" i="12"/>
  <c r="F108" i="12"/>
  <c r="AB105" i="12"/>
  <c r="AA105" i="12"/>
  <c r="AH105" i="12" s="1"/>
  <c r="V105" i="12"/>
  <c r="AC105" i="12" s="1"/>
  <c r="Y105" i="12"/>
  <c r="AF105" i="12" s="1"/>
  <c r="X105" i="12"/>
  <c r="AE105" i="12" s="1"/>
  <c r="Z105" i="12"/>
  <c r="AG105" i="12" s="1"/>
  <c r="W105" i="12"/>
  <c r="AD105" i="12" s="1"/>
  <c r="AJ104" i="6"/>
  <c r="W105" i="6"/>
  <c r="AD105" i="6" s="1"/>
  <c r="Z105" i="6"/>
  <c r="AG105" i="6" s="1"/>
  <c r="V105" i="6"/>
  <c r="AC105" i="6" s="1"/>
  <c r="AA105" i="6"/>
  <c r="AH105" i="6" s="1"/>
  <c r="AB105" i="6"/>
  <c r="AI105" i="6" s="1"/>
  <c r="Y105" i="6"/>
  <c r="AF105" i="6" s="1"/>
  <c r="X105" i="6"/>
  <c r="AE105" i="6" s="1"/>
  <c r="B107" i="11"/>
  <c r="J109" i="6"/>
  <c r="Q108" i="6"/>
  <c r="C108" i="6" s="1"/>
  <c r="B106" i="11"/>
  <c r="I106" i="11" s="1"/>
  <c r="O110" i="6"/>
  <c r="P110" i="6"/>
  <c r="M110" i="6"/>
  <c r="R107" i="6"/>
  <c r="S107" i="6" s="1"/>
  <c r="B108" i="6" s="1"/>
  <c r="D107" i="6"/>
  <c r="C107" i="11" s="1"/>
  <c r="G107" i="6"/>
  <c r="F107" i="11" s="1"/>
  <c r="I107" i="6"/>
  <c r="H107" i="11" s="1"/>
  <c r="H107" i="6"/>
  <c r="G107" i="11" s="1"/>
  <c r="E107" i="6"/>
  <c r="D107" i="11" s="1"/>
  <c r="F107" i="6"/>
  <c r="E107" i="11" s="1"/>
  <c r="N111" i="6"/>
  <c r="K112" i="6"/>
  <c r="L110" i="6"/>
  <c r="K96" i="8"/>
  <c r="L95" i="8"/>
  <c r="P113" i="12" l="1"/>
  <c r="N111" i="12"/>
  <c r="K111" i="12"/>
  <c r="T109" i="12"/>
  <c r="U109" i="12" s="1"/>
  <c r="R109" i="12"/>
  <c r="S109" i="12" s="1"/>
  <c r="B110" i="12" s="1"/>
  <c r="I109" i="12"/>
  <c r="H109" i="12"/>
  <c r="O112" i="12"/>
  <c r="Q110" i="12"/>
  <c r="C110" i="12"/>
  <c r="J111" i="12"/>
  <c r="M111" i="12"/>
  <c r="L111" i="12"/>
  <c r="F109" i="12"/>
  <c r="AI105" i="12"/>
  <c r="W106" i="6"/>
  <c r="AD106" i="6" s="1"/>
  <c r="AB106" i="6"/>
  <c r="AI106" i="6" s="1"/>
  <c r="Y106" i="6"/>
  <c r="AF106" i="6" s="1"/>
  <c r="X106" i="6"/>
  <c r="AE106" i="6" s="1"/>
  <c r="Z106" i="6"/>
  <c r="AG106" i="6" s="1"/>
  <c r="V106" i="6"/>
  <c r="AC106" i="6" s="1"/>
  <c r="AA106" i="6"/>
  <c r="AH106" i="6" s="1"/>
  <c r="AJ105" i="6"/>
  <c r="K113" i="6"/>
  <c r="O111" i="6"/>
  <c r="N112" i="6"/>
  <c r="B108" i="11"/>
  <c r="J110" i="6"/>
  <c r="Q109" i="6"/>
  <c r="C109" i="6" s="1"/>
  <c r="I107" i="11"/>
  <c r="M111" i="6"/>
  <c r="R108" i="6"/>
  <c r="S108" i="6" s="1"/>
  <c r="B109" i="6" s="1"/>
  <c r="D108" i="6"/>
  <c r="C108" i="11" s="1"/>
  <c r="G108" i="6"/>
  <c r="F108" i="11" s="1"/>
  <c r="E108" i="6"/>
  <c r="D108" i="11" s="1"/>
  <c r="I108" i="6"/>
  <c r="H108" i="11" s="1"/>
  <c r="H108" i="6"/>
  <c r="G108" i="11" s="1"/>
  <c r="F108" i="6"/>
  <c r="E108" i="11" s="1"/>
  <c r="P111" i="6"/>
  <c r="L111" i="6"/>
  <c r="K97" i="8"/>
  <c r="L96" i="8"/>
  <c r="R110" i="12" l="1"/>
  <c r="S110" i="12"/>
  <c r="B111" i="12" s="1"/>
  <c r="I110" i="12"/>
  <c r="H110" i="12"/>
  <c r="D110" i="12"/>
  <c r="T110" i="12" s="1"/>
  <c r="U110" i="12" s="1"/>
  <c r="P114" i="12"/>
  <c r="J112" i="12"/>
  <c r="Q111" i="12"/>
  <c r="C111" i="12"/>
  <c r="K112" i="12"/>
  <c r="D111" i="12"/>
  <c r="O113" i="12"/>
  <c r="E111" i="12"/>
  <c r="L112" i="12"/>
  <c r="G110" i="12"/>
  <c r="E110" i="12"/>
  <c r="G111" i="12"/>
  <c r="N112" i="12"/>
  <c r="F110" i="12"/>
  <c r="F111" i="12"/>
  <c r="M112" i="12"/>
  <c r="Z106" i="12"/>
  <c r="AG106" i="12" s="1"/>
  <c r="Y106" i="12"/>
  <c r="AF106" i="12" s="1"/>
  <c r="X106" i="12"/>
  <c r="AE106" i="12" s="1"/>
  <c r="AA106" i="12"/>
  <c r="AH106" i="12" s="1"/>
  <c r="AB106" i="12"/>
  <c r="W106" i="12"/>
  <c r="AD106" i="12" s="1"/>
  <c r="V106" i="12"/>
  <c r="AC106" i="12" s="1"/>
  <c r="W107" i="6"/>
  <c r="AD107" i="6" s="1"/>
  <c r="AB107" i="6"/>
  <c r="AI107" i="6" s="1"/>
  <c r="Y107" i="6"/>
  <c r="AF107" i="6" s="1"/>
  <c r="X107" i="6"/>
  <c r="AE107" i="6" s="1"/>
  <c r="Z107" i="6"/>
  <c r="AG107" i="6" s="1"/>
  <c r="V107" i="6"/>
  <c r="AC107" i="6" s="1"/>
  <c r="AA107" i="6"/>
  <c r="AH107" i="6" s="1"/>
  <c r="AJ106" i="6"/>
  <c r="J111" i="6"/>
  <c r="Q110" i="6"/>
  <c r="C110" i="6" s="1"/>
  <c r="I108" i="11"/>
  <c r="L112" i="6"/>
  <c r="P112" i="6"/>
  <c r="N113" i="6"/>
  <c r="B109" i="11"/>
  <c r="M112" i="6"/>
  <c r="O112" i="6"/>
  <c r="R109" i="6"/>
  <c r="S109" i="6" s="1"/>
  <c r="B110" i="6" s="1"/>
  <c r="D109" i="6"/>
  <c r="C109" i="11" s="1"/>
  <c r="G109" i="6"/>
  <c r="F109" i="11" s="1"/>
  <c r="H109" i="6"/>
  <c r="G109" i="11" s="1"/>
  <c r="I109" i="6"/>
  <c r="H109" i="11" s="1"/>
  <c r="E109" i="6"/>
  <c r="D109" i="11" s="1"/>
  <c r="F109" i="6"/>
  <c r="E109" i="11" s="1"/>
  <c r="K114" i="6"/>
  <c r="K98" i="8"/>
  <c r="L97" i="8"/>
  <c r="M113" i="12" l="1"/>
  <c r="D112" i="12"/>
  <c r="K113" i="12"/>
  <c r="P115" i="12"/>
  <c r="O114" i="12"/>
  <c r="N113" i="12"/>
  <c r="R111" i="12"/>
  <c r="S111" i="12"/>
  <c r="B112" i="12" s="1"/>
  <c r="I111" i="12"/>
  <c r="H111" i="12"/>
  <c r="T111" i="12" s="1"/>
  <c r="U111" i="12" s="1"/>
  <c r="E112" i="12"/>
  <c r="L113" i="12"/>
  <c r="Q112" i="12"/>
  <c r="C112" i="12"/>
  <c r="J113" i="12"/>
  <c r="W107" i="12"/>
  <c r="AD107" i="12" s="1"/>
  <c r="V107" i="12"/>
  <c r="AC107" i="12" s="1"/>
  <c r="AB107" i="12"/>
  <c r="X107" i="12"/>
  <c r="AE107" i="12" s="1"/>
  <c r="AA107" i="12"/>
  <c r="AH107" i="12" s="1"/>
  <c r="Y107" i="12"/>
  <c r="AF107" i="12" s="1"/>
  <c r="Z107" i="12"/>
  <c r="AG107" i="12" s="1"/>
  <c r="AI106" i="12"/>
  <c r="W108" i="6"/>
  <c r="AD108" i="6" s="1"/>
  <c r="AA108" i="6"/>
  <c r="AH108" i="6" s="1"/>
  <c r="AB108" i="6"/>
  <c r="AI108" i="6" s="1"/>
  <c r="Y108" i="6"/>
  <c r="AF108" i="6" s="1"/>
  <c r="X108" i="6"/>
  <c r="AE108" i="6" s="1"/>
  <c r="Z108" i="6"/>
  <c r="AG108" i="6" s="1"/>
  <c r="V108" i="6"/>
  <c r="AC108" i="6" s="1"/>
  <c r="AJ107" i="6"/>
  <c r="O113" i="6"/>
  <c r="P113" i="6"/>
  <c r="R110" i="6"/>
  <c r="S110" i="6" s="1"/>
  <c r="B111" i="6" s="1"/>
  <c r="D110" i="6"/>
  <c r="C110" i="11" s="1"/>
  <c r="G110" i="6"/>
  <c r="F110" i="11" s="1"/>
  <c r="E110" i="6"/>
  <c r="D110" i="11" s="1"/>
  <c r="F110" i="6"/>
  <c r="E110" i="11" s="1"/>
  <c r="H110" i="6"/>
  <c r="G110" i="11" s="1"/>
  <c r="I110" i="6"/>
  <c r="H110" i="11" s="1"/>
  <c r="M113" i="6"/>
  <c r="L113" i="6"/>
  <c r="I109" i="11"/>
  <c r="B110" i="11"/>
  <c r="K115" i="6"/>
  <c r="N114" i="6"/>
  <c r="J112" i="6"/>
  <c r="Q111" i="6"/>
  <c r="C111" i="6"/>
  <c r="K99" i="8"/>
  <c r="L98" i="8"/>
  <c r="O115" i="12" l="1"/>
  <c r="P116" i="12"/>
  <c r="J114" i="12"/>
  <c r="Q113" i="12"/>
  <c r="G113" i="12" s="1"/>
  <c r="C113" i="12"/>
  <c r="K114" i="12"/>
  <c r="R112" i="12"/>
  <c r="S112" i="12" s="1"/>
  <c r="B113" i="12" s="1"/>
  <c r="I112" i="12"/>
  <c r="H112" i="12"/>
  <c r="G112" i="12"/>
  <c r="F112" i="12"/>
  <c r="T112" i="12" s="1"/>
  <c r="U112" i="12" s="1"/>
  <c r="L114" i="12"/>
  <c r="N114" i="12"/>
  <c r="M114" i="12"/>
  <c r="AA108" i="12"/>
  <c r="AH108" i="12" s="1"/>
  <c r="W108" i="12"/>
  <c r="AD108" i="12" s="1"/>
  <c r="V108" i="12"/>
  <c r="AC108" i="12" s="1"/>
  <c r="AB108" i="12"/>
  <c r="X108" i="12"/>
  <c r="AE108" i="12" s="1"/>
  <c r="Y108" i="12"/>
  <c r="AF108" i="12" s="1"/>
  <c r="Z108" i="12"/>
  <c r="AG108" i="12" s="1"/>
  <c r="AI107" i="12"/>
  <c r="AJ108" i="6"/>
  <c r="W109" i="6"/>
  <c r="AD109" i="6" s="1"/>
  <c r="AA109" i="6"/>
  <c r="AH109" i="6" s="1"/>
  <c r="AB109" i="6"/>
  <c r="AI109" i="6" s="1"/>
  <c r="Z109" i="6"/>
  <c r="AG109" i="6" s="1"/>
  <c r="V109" i="6"/>
  <c r="AC109" i="6" s="1"/>
  <c r="Y109" i="6"/>
  <c r="AF109" i="6" s="1"/>
  <c r="X109" i="6"/>
  <c r="AE109" i="6" s="1"/>
  <c r="M114" i="6"/>
  <c r="P114" i="6"/>
  <c r="B111" i="11"/>
  <c r="J113" i="6"/>
  <c r="Q112" i="6"/>
  <c r="C112" i="6"/>
  <c r="L114" i="6"/>
  <c r="N115" i="6"/>
  <c r="K116" i="6"/>
  <c r="I110" i="11"/>
  <c r="R111" i="6"/>
  <c r="S111" i="6" s="1"/>
  <c r="B112" i="6" s="1"/>
  <c r="D111" i="6"/>
  <c r="C111" i="11" s="1"/>
  <c r="G111" i="6"/>
  <c r="F111" i="11" s="1"/>
  <c r="E111" i="6"/>
  <c r="D111" i="11" s="1"/>
  <c r="F111" i="6"/>
  <c r="E111" i="11" s="1"/>
  <c r="I111" i="6"/>
  <c r="H111" i="11" s="1"/>
  <c r="H111" i="6"/>
  <c r="G111" i="11" s="1"/>
  <c r="O114" i="6"/>
  <c r="K100" i="8"/>
  <c r="L99" i="8"/>
  <c r="N115" i="12" l="1"/>
  <c r="P117" i="12"/>
  <c r="R113" i="12"/>
  <c r="S113" i="12"/>
  <c r="B114" i="12" s="1"/>
  <c r="I113" i="12"/>
  <c r="H113" i="12"/>
  <c r="M115" i="12"/>
  <c r="Q114" i="12"/>
  <c r="C114" i="12"/>
  <c r="J115" i="12"/>
  <c r="L115" i="12"/>
  <c r="E114" i="12"/>
  <c r="D113" i="12"/>
  <c r="T113" i="12" s="1"/>
  <c r="U113" i="12" s="1"/>
  <c r="F113" i="12"/>
  <c r="E113" i="12"/>
  <c r="K115" i="12"/>
  <c r="D114" i="12"/>
  <c r="O116" i="12"/>
  <c r="AI108" i="12"/>
  <c r="X109" i="12"/>
  <c r="AE109" i="12" s="1"/>
  <c r="Y109" i="12"/>
  <c r="AF109" i="12" s="1"/>
  <c r="W109" i="12"/>
  <c r="AD109" i="12" s="1"/>
  <c r="V109" i="12"/>
  <c r="AC109" i="12" s="1"/>
  <c r="Z109" i="12"/>
  <c r="AG109" i="12" s="1"/>
  <c r="AB109" i="12"/>
  <c r="AA109" i="12"/>
  <c r="AH109" i="12" s="1"/>
  <c r="W110" i="6"/>
  <c r="AD110" i="6" s="1"/>
  <c r="AB110" i="6"/>
  <c r="AI110" i="6" s="1"/>
  <c r="X110" i="6"/>
  <c r="AE110" i="6" s="1"/>
  <c r="AA110" i="6"/>
  <c r="AH110" i="6" s="1"/>
  <c r="Z110" i="6"/>
  <c r="AG110" i="6" s="1"/>
  <c r="V110" i="6"/>
  <c r="AC110" i="6" s="1"/>
  <c r="Y110" i="6"/>
  <c r="AF110" i="6" s="1"/>
  <c r="AJ109" i="6"/>
  <c r="O115" i="6"/>
  <c r="R112" i="6"/>
  <c r="S112" i="6" s="1"/>
  <c r="B113" i="6" s="1"/>
  <c r="D112" i="6"/>
  <c r="C112" i="11" s="1"/>
  <c r="G112" i="6"/>
  <c r="F112" i="11" s="1"/>
  <c r="I112" i="6"/>
  <c r="H112" i="11" s="1"/>
  <c r="F112" i="6"/>
  <c r="E112" i="11" s="1"/>
  <c r="H112" i="6"/>
  <c r="G112" i="11" s="1"/>
  <c r="E112" i="6"/>
  <c r="D112" i="11" s="1"/>
  <c r="B112" i="11"/>
  <c r="J114" i="6"/>
  <c r="Q113" i="6"/>
  <c r="C113" i="6" s="1"/>
  <c r="K117" i="6"/>
  <c r="I111" i="11"/>
  <c r="P115" i="6"/>
  <c r="N116" i="6"/>
  <c r="L115" i="6"/>
  <c r="M115" i="6"/>
  <c r="K101" i="8"/>
  <c r="L100" i="8"/>
  <c r="O117" i="12" l="1"/>
  <c r="L116" i="12"/>
  <c r="J116" i="12"/>
  <c r="Q115" i="12"/>
  <c r="C115" i="12"/>
  <c r="K116" i="12"/>
  <c r="P118" i="12"/>
  <c r="R114" i="12"/>
  <c r="S114" i="12"/>
  <c r="B115" i="12" s="1"/>
  <c r="I114" i="12"/>
  <c r="H114" i="12"/>
  <c r="T114" i="12" s="1"/>
  <c r="U114" i="12" s="1"/>
  <c r="F114" i="12"/>
  <c r="G114" i="12"/>
  <c r="M116" i="12"/>
  <c r="N116" i="12"/>
  <c r="AB110" i="12"/>
  <c r="Z110" i="12"/>
  <c r="AG110" i="12" s="1"/>
  <c r="Y110" i="12"/>
  <c r="AF110" i="12" s="1"/>
  <c r="X110" i="12"/>
  <c r="AE110" i="12" s="1"/>
  <c r="AA110" i="12"/>
  <c r="AH110" i="12" s="1"/>
  <c r="W110" i="12"/>
  <c r="AD110" i="12" s="1"/>
  <c r="V110" i="12"/>
  <c r="AC110" i="12" s="1"/>
  <c r="AI109" i="12"/>
  <c r="AJ110" i="6"/>
  <c r="W111" i="6"/>
  <c r="AD111" i="6" s="1"/>
  <c r="AB111" i="6"/>
  <c r="AI111" i="6" s="1"/>
  <c r="X111" i="6"/>
  <c r="AE111" i="6" s="1"/>
  <c r="AA111" i="6"/>
  <c r="AH111" i="6" s="1"/>
  <c r="Z111" i="6"/>
  <c r="AG111" i="6" s="1"/>
  <c r="V111" i="6"/>
  <c r="AC111" i="6" s="1"/>
  <c r="Y111" i="6"/>
  <c r="AF111" i="6" s="1"/>
  <c r="B113" i="11"/>
  <c r="L116" i="6"/>
  <c r="J115" i="6"/>
  <c r="Q114" i="6"/>
  <c r="C114" i="6" s="1"/>
  <c r="I112" i="11"/>
  <c r="P116" i="6"/>
  <c r="K118" i="6"/>
  <c r="R113" i="6"/>
  <c r="S113" i="6" s="1"/>
  <c r="B114" i="6" s="1"/>
  <c r="D113" i="6"/>
  <c r="C113" i="11" s="1"/>
  <c r="G113" i="6"/>
  <c r="F113" i="11" s="1"/>
  <c r="H113" i="6"/>
  <c r="G113" i="11" s="1"/>
  <c r="E113" i="6"/>
  <c r="D113" i="11" s="1"/>
  <c r="I113" i="6"/>
  <c r="H113" i="11" s="1"/>
  <c r="F113" i="6"/>
  <c r="E113" i="11" s="1"/>
  <c r="N117" i="6"/>
  <c r="M116" i="6"/>
  <c r="O116" i="6"/>
  <c r="K102" i="8"/>
  <c r="L101" i="8"/>
  <c r="K117" i="12" l="1"/>
  <c r="R115" i="12"/>
  <c r="S115" i="12"/>
  <c r="B116" i="12" s="1"/>
  <c r="I115" i="12"/>
  <c r="H115" i="12"/>
  <c r="M117" i="12"/>
  <c r="F116" i="12"/>
  <c r="P119" i="12"/>
  <c r="E115" i="12"/>
  <c r="G115" i="12"/>
  <c r="Q116" i="12"/>
  <c r="C116" i="12"/>
  <c r="J117" i="12"/>
  <c r="L117" i="12"/>
  <c r="N117" i="12"/>
  <c r="F115" i="12"/>
  <c r="D115" i="12"/>
  <c r="T115" i="12" s="1"/>
  <c r="U115" i="12" s="1"/>
  <c r="O118" i="12"/>
  <c r="Z111" i="12"/>
  <c r="AG111" i="12" s="1"/>
  <c r="AA111" i="12"/>
  <c r="AH111" i="12" s="1"/>
  <c r="Y111" i="12"/>
  <c r="AF111" i="12" s="1"/>
  <c r="AB111" i="12"/>
  <c r="W111" i="12"/>
  <c r="AD111" i="12" s="1"/>
  <c r="X111" i="12"/>
  <c r="AE111" i="12" s="1"/>
  <c r="V111" i="12"/>
  <c r="AC111" i="12" s="1"/>
  <c r="AI110" i="12"/>
  <c r="W112" i="12"/>
  <c r="AD112" i="12" s="1"/>
  <c r="V112" i="12"/>
  <c r="AC112" i="12" s="1"/>
  <c r="AB112" i="12"/>
  <c r="X112" i="12"/>
  <c r="AE112" i="12" s="1"/>
  <c r="Z112" i="12"/>
  <c r="AG112" i="12" s="1"/>
  <c r="AA112" i="12"/>
  <c r="AH112" i="12" s="1"/>
  <c r="Y112" i="12"/>
  <c r="AF112" i="12" s="1"/>
  <c r="W112" i="6"/>
  <c r="AD112" i="6" s="1"/>
  <c r="AA112" i="6"/>
  <c r="AH112" i="6" s="1"/>
  <c r="Z112" i="6"/>
  <c r="AG112" i="6" s="1"/>
  <c r="X112" i="6"/>
  <c r="AE112" i="6" s="1"/>
  <c r="AB112" i="6"/>
  <c r="AI112" i="6" s="1"/>
  <c r="V112" i="6"/>
  <c r="AC112" i="6" s="1"/>
  <c r="Y112" i="6"/>
  <c r="AF112" i="6" s="1"/>
  <c r="AJ111" i="6"/>
  <c r="B114" i="11"/>
  <c r="O117" i="6"/>
  <c r="J116" i="6"/>
  <c r="Q115" i="6"/>
  <c r="C115" i="6" s="1"/>
  <c r="K119" i="6"/>
  <c r="L117" i="6"/>
  <c r="I113" i="11"/>
  <c r="M117" i="6"/>
  <c r="R114" i="6"/>
  <c r="S114" i="6" s="1"/>
  <c r="B115" i="6" s="1"/>
  <c r="D114" i="6"/>
  <c r="C114" i="11" s="1"/>
  <c r="G114" i="6"/>
  <c r="F114" i="11" s="1"/>
  <c r="I114" i="6"/>
  <c r="H114" i="11" s="1"/>
  <c r="E114" i="6"/>
  <c r="D114" i="11" s="1"/>
  <c r="H114" i="6"/>
  <c r="G114" i="11" s="1"/>
  <c r="F114" i="6"/>
  <c r="E114" i="11" s="1"/>
  <c r="N118" i="6"/>
  <c r="P117" i="6"/>
  <c r="K103" i="8"/>
  <c r="L102" i="8"/>
  <c r="O119" i="12" l="1"/>
  <c r="F117" i="12"/>
  <c r="M118" i="12"/>
  <c r="R116" i="12"/>
  <c r="S116" i="12"/>
  <c r="B117" i="12" s="1"/>
  <c r="I116" i="12"/>
  <c r="H116" i="12"/>
  <c r="J118" i="12"/>
  <c r="Q117" i="12"/>
  <c r="C117" i="12"/>
  <c r="G116" i="12"/>
  <c r="T116" i="12"/>
  <c r="U116" i="12" s="1"/>
  <c r="G117" i="12"/>
  <c r="N118" i="12"/>
  <c r="E116" i="12"/>
  <c r="P120" i="12"/>
  <c r="K118" i="12"/>
  <c r="D117" i="12"/>
  <c r="E117" i="12"/>
  <c r="L118" i="12"/>
  <c r="D116" i="12"/>
  <c r="AI111" i="12"/>
  <c r="AI112" i="12"/>
  <c r="AA113" i="12"/>
  <c r="AH113" i="12" s="1"/>
  <c r="Z113" i="12"/>
  <c r="AG113" i="12" s="1"/>
  <c r="AB113" i="12"/>
  <c r="Y113" i="12"/>
  <c r="AF113" i="12" s="1"/>
  <c r="X113" i="12"/>
  <c r="AE113" i="12" s="1"/>
  <c r="V113" i="12"/>
  <c r="AC113" i="12" s="1"/>
  <c r="W113" i="12"/>
  <c r="AD113" i="12" s="1"/>
  <c r="W113" i="6"/>
  <c r="AD113" i="6" s="1"/>
  <c r="AA113" i="6"/>
  <c r="AH113" i="6" s="1"/>
  <c r="Z113" i="6"/>
  <c r="AG113" i="6" s="1"/>
  <c r="V113" i="6"/>
  <c r="AC113" i="6" s="1"/>
  <c r="Y113" i="6"/>
  <c r="AF113" i="6" s="1"/>
  <c r="X113" i="6"/>
  <c r="AE113" i="6" s="1"/>
  <c r="AB113" i="6"/>
  <c r="AI113" i="6" s="1"/>
  <c r="AJ112" i="6"/>
  <c r="P118" i="6"/>
  <c r="K120" i="6"/>
  <c r="N119" i="6"/>
  <c r="O118" i="6"/>
  <c r="B115" i="11"/>
  <c r="R115" i="6"/>
  <c r="S115" i="6" s="1"/>
  <c r="B116" i="6" s="1"/>
  <c r="D115" i="6"/>
  <c r="C115" i="11" s="1"/>
  <c r="G115" i="6"/>
  <c r="F115" i="11" s="1"/>
  <c r="H115" i="6"/>
  <c r="G115" i="11" s="1"/>
  <c r="E115" i="6"/>
  <c r="D115" i="11" s="1"/>
  <c r="I115" i="6"/>
  <c r="H115" i="11" s="1"/>
  <c r="F115" i="6"/>
  <c r="E115" i="11" s="1"/>
  <c r="M118" i="6"/>
  <c r="J117" i="6"/>
  <c r="Q116" i="6"/>
  <c r="C116" i="6" s="1"/>
  <c r="L118" i="6"/>
  <c r="I114" i="11"/>
  <c r="K104" i="8"/>
  <c r="L103" i="8"/>
  <c r="N119" i="12" l="1"/>
  <c r="L119" i="12"/>
  <c r="M119" i="12"/>
  <c r="K119" i="12"/>
  <c r="R117" i="12"/>
  <c r="S117" i="12"/>
  <c r="B118" i="12" s="1"/>
  <c r="I117" i="12"/>
  <c r="H117" i="12"/>
  <c r="T117" i="12"/>
  <c r="U117" i="12" s="1"/>
  <c r="P121" i="12"/>
  <c r="Q118" i="12"/>
  <c r="J119" i="12"/>
  <c r="O120" i="12"/>
  <c r="Y114" i="12"/>
  <c r="AF114" i="12" s="1"/>
  <c r="X114" i="12"/>
  <c r="AE114" i="12" s="1"/>
  <c r="W114" i="12"/>
  <c r="AD114" i="12" s="1"/>
  <c r="AB114" i="12"/>
  <c r="V114" i="12"/>
  <c r="AC114" i="12" s="1"/>
  <c r="AA114" i="12"/>
  <c r="AH114" i="12" s="1"/>
  <c r="Z114" i="12"/>
  <c r="AG114" i="12" s="1"/>
  <c r="AI113" i="12"/>
  <c r="Y114" i="6"/>
  <c r="AF114" i="6" s="1"/>
  <c r="X114" i="6"/>
  <c r="AE114" i="6" s="1"/>
  <c r="AA114" i="6"/>
  <c r="AH114" i="6" s="1"/>
  <c r="Z114" i="6"/>
  <c r="AG114" i="6" s="1"/>
  <c r="V114" i="6"/>
  <c r="AC114" i="6" s="1"/>
  <c r="W114" i="6"/>
  <c r="AD114" i="6" s="1"/>
  <c r="AB114" i="6"/>
  <c r="AI114" i="6" s="1"/>
  <c r="AJ113" i="6"/>
  <c r="B116" i="11"/>
  <c r="J118" i="6"/>
  <c r="Q117" i="6"/>
  <c r="C117" i="6" s="1"/>
  <c r="N120" i="6"/>
  <c r="M119" i="6"/>
  <c r="K121" i="6"/>
  <c r="L119" i="6"/>
  <c r="O119" i="6"/>
  <c r="R116" i="6"/>
  <c r="S116" i="6" s="1"/>
  <c r="B117" i="6" s="1"/>
  <c r="D116" i="6"/>
  <c r="C116" i="11" s="1"/>
  <c r="G116" i="6"/>
  <c r="F116" i="11" s="1"/>
  <c r="H116" i="6"/>
  <c r="G116" i="11" s="1"/>
  <c r="F116" i="6"/>
  <c r="E116" i="11" s="1"/>
  <c r="I116" i="6"/>
  <c r="H116" i="11" s="1"/>
  <c r="E116" i="6"/>
  <c r="D116" i="11" s="1"/>
  <c r="I115" i="11"/>
  <c r="P119" i="6"/>
  <c r="K105" i="8"/>
  <c r="L104" i="8"/>
  <c r="R118" i="12" l="1"/>
  <c r="S118" i="12"/>
  <c r="B119" i="12" s="1"/>
  <c r="I118" i="12"/>
  <c r="H118" i="12"/>
  <c r="D118" i="12"/>
  <c r="F118" i="12"/>
  <c r="P122" i="12"/>
  <c r="K120" i="12"/>
  <c r="M120" i="12"/>
  <c r="O121" i="12"/>
  <c r="E118" i="12"/>
  <c r="E119" i="12"/>
  <c r="L120" i="12"/>
  <c r="J120" i="12"/>
  <c r="Q119" i="12"/>
  <c r="C119" i="12"/>
  <c r="G118" i="12"/>
  <c r="C118" i="12"/>
  <c r="T118" i="12" s="1"/>
  <c r="U118" i="12" s="1"/>
  <c r="G119" i="12"/>
  <c r="N120" i="12"/>
  <c r="AI114" i="12"/>
  <c r="AB115" i="6"/>
  <c r="AI115" i="6" s="1"/>
  <c r="Y115" i="6"/>
  <c r="AF115" i="6" s="1"/>
  <c r="X115" i="6"/>
  <c r="AE115" i="6" s="1"/>
  <c r="AA115" i="6"/>
  <c r="AH115" i="6" s="1"/>
  <c r="Z115" i="6"/>
  <c r="AG115" i="6" s="1"/>
  <c r="V115" i="6"/>
  <c r="AC115" i="6" s="1"/>
  <c r="W115" i="6"/>
  <c r="AD115" i="6" s="1"/>
  <c r="AJ114" i="6"/>
  <c r="M120" i="6"/>
  <c r="O120" i="6"/>
  <c r="L120" i="6"/>
  <c r="B117" i="11"/>
  <c r="R117" i="6"/>
  <c r="S117" i="6" s="1"/>
  <c r="B118" i="6" s="1"/>
  <c r="D117" i="6"/>
  <c r="C117" i="11" s="1"/>
  <c r="G117" i="6"/>
  <c r="F117" i="11" s="1"/>
  <c r="I117" i="6"/>
  <c r="H117" i="11" s="1"/>
  <c r="E117" i="6"/>
  <c r="D117" i="11" s="1"/>
  <c r="F117" i="6"/>
  <c r="E117" i="11" s="1"/>
  <c r="H117" i="6"/>
  <c r="G117" i="11" s="1"/>
  <c r="K122" i="6"/>
  <c r="N121" i="6"/>
  <c r="J119" i="6"/>
  <c r="Q118" i="6"/>
  <c r="C118" i="6" s="1"/>
  <c r="P120" i="6"/>
  <c r="I116" i="11"/>
  <c r="K106" i="8"/>
  <c r="L105" i="8"/>
  <c r="AJ115" i="6" l="1"/>
  <c r="P123" i="12"/>
  <c r="N121" i="12"/>
  <c r="O122" i="12"/>
  <c r="T119" i="12"/>
  <c r="U119" i="12" s="1"/>
  <c r="M121" i="12"/>
  <c r="R119" i="12"/>
  <c r="S119" i="12" s="1"/>
  <c r="B120" i="12" s="1"/>
  <c r="I119" i="12"/>
  <c r="H119" i="12"/>
  <c r="F119" i="12"/>
  <c r="Q120" i="12"/>
  <c r="C120" i="12"/>
  <c r="J121" i="12"/>
  <c r="D119" i="12"/>
  <c r="L121" i="12"/>
  <c r="K121" i="12"/>
  <c r="V115" i="12"/>
  <c r="AC115" i="12" s="1"/>
  <c r="AB115" i="12"/>
  <c r="W115" i="12"/>
  <c r="AD115" i="12" s="1"/>
  <c r="X115" i="12"/>
  <c r="AE115" i="12" s="1"/>
  <c r="AA115" i="12"/>
  <c r="AH115" i="12" s="1"/>
  <c r="Y115" i="12"/>
  <c r="AF115" i="12" s="1"/>
  <c r="Z115" i="12"/>
  <c r="AG115" i="12" s="1"/>
  <c r="AA116" i="6"/>
  <c r="AH116" i="6" s="1"/>
  <c r="AB116" i="6"/>
  <c r="AI116" i="6" s="1"/>
  <c r="Y116" i="6"/>
  <c r="AF116" i="6" s="1"/>
  <c r="X116" i="6"/>
  <c r="AE116" i="6" s="1"/>
  <c r="Z116" i="6"/>
  <c r="AG116" i="6" s="1"/>
  <c r="W116" i="6"/>
  <c r="AD116" i="6" s="1"/>
  <c r="V116" i="6"/>
  <c r="AC116" i="6" s="1"/>
  <c r="I117" i="11"/>
  <c r="K123" i="6"/>
  <c r="P121" i="6"/>
  <c r="R118" i="6"/>
  <c r="S118" i="6" s="1"/>
  <c r="B119" i="6" s="1"/>
  <c r="D118" i="6"/>
  <c r="C118" i="11" s="1"/>
  <c r="G118" i="6"/>
  <c r="F118" i="11" s="1"/>
  <c r="F118" i="6"/>
  <c r="E118" i="11" s="1"/>
  <c r="I118" i="6"/>
  <c r="H118" i="11" s="1"/>
  <c r="E118" i="6"/>
  <c r="D118" i="11" s="1"/>
  <c r="H118" i="6"/>
  <c r="G118" i="11" s="1"/>
  <c r="L121" i="6"/>
  <c r="J120" i="6"/>
  <c r="Q119" i="6"/>
  <c r="C119" i="6" s="1"/>
  <c r="O121" i="6"/>
  <c r="N122" i="6"/>
  <c r="B118" i="11"/>
  <c r="M121" i="6"/>
  <c r="K107" i="8"/>
  <c r="L106" i="8"/>
  <c r="AJ116" i="6" l="1"/>
  <c r="M122" i="12"/>
  <c r="R120" i="12"/>
  <c r="S120" i="12"/>
  <c r="B121" i="12" s="1"/>
  <c r="I120" i="12"/>
  <c r="H120" i="12"/>
  <c r="K122" i="12"/>
  <c r="O123" i="12"/>
  <c r="D120" i="12"/>
  <c r="T120" i="12" s="1"/>
  <c r="U120" i="12" s="1"/>
  <c r="E120" i="12"/>
  <c r="G120" i="12"/>
  <c r="L122" i="12"/>
  <c r="N122" i="12"/>
  <c r="P124" i="12"/>
  <c r="J122" i="12"/>
  <c r="Q121" i="12"/>
  <c r="E121" i="12" s="1"/>
  <c r="F120" i="12"/>
  <c r="X117" i="12"/>
  <c r="AE117" i="12" s="1"/>
  <c r="V117" i="12"/>
  <c r="AC117" i="12" s="1"/>
  <c r="AB117" i="12"/>
  <c r="W117" i="12"/>
  <c r="AD117" i="12" s="1"/>
  <c r="AA117" i="12"/>
  <c r="AH117" i="12" s="1"/>
  <c r="Z117" i="12"/>
  <c r="AG117" i="12" s="1"/>
  <c r="Y117" i="12"/>
  <c r="AF117" i="12" s="1"/>
  <c r="AA116" i="12"/>
  <c r="AH116" i="12" s="1"/>
  <c r="AB116" i="12"/>
  <c r="V116" i="12"/>
  <c r="AC116" i="12" s="1"/>
  <c r="Z116" i="12"/>
  <c r="AG116" i="12" s="1"/>
  <c r="Y116" i="12"/>
  <c r="AF116" i="12" s="1"/>
  <c r="X116" i="12"/>
  <c r="AE116" i="12" s="1"/>
  <c r="W116" i="12"/>
  <c r="AD116" i="12" s="1"/>
  <c r="AI115" i="12"/>
  <c r="W117" i="6"/>
  <c r="AD117" i="6" s="1"/>
  <c r="AA117" i="6"/>
  <c r="AH117" i="6" s="1"/>
  <c r="AB117" i="6"/>
  <c r="AI117" i="6" s="1"/>
  <c r="Y117" i="6"/>
  <c r="AF117" i="6" s="1"/>
  <c r="V117" i="6"/>
  <c r="AC117" i="6" s="1"/>
  <c r="X117" i="6"/>
  <c r="AE117" i="6" s="1"/>
  <c r="Z117" i="6"/>
  <c r="AG117" i="6" s="1"/>
  <c r="I118" i="11"/>
  <c r="B119" i="11"/>
  <c r="J121" i="6"/>
  <c r="Q120" i="6"/>
  <c r="C120" i="6" s="1"/>
  <c r="L122" i="6"/>
  <c r="N123" i="6"/>
  <c r="O122" i="6"/>
  <c r="K124" i="6"/>
  <c r="M122" i="6"/>
  <c r="P122" i="6"/>
  <c r="R119" i="6"/>
  <c r="S119" i="6" s="1"/>
  <c r="B120" i="6" s="1"/>
  <c r="D119" i="6"/>
  <c r="C119" i="11" s="1"/>
  <c r="G119" i="6"/>
  <c r="F119" i="11" s="1"/>
  <c r="E119" i="6"/>
  <c r="D119" i="11" s="1"/>
  <c r="F119" i="6"/>
  <c r="E119" i="11" s="1"/>
  <c r="H119" i="6"/>
  <c r="G119" i="11" s="1"/>
  <c r="I119" i="6"/>
  <c r="H119" i="11" s="1"/>
  <c r="K108" i="8"/>
  <c r="L107" i="8"/>
  <c r="L123" i="12" l="1"/>
  <c r="K123" i="12"/>
  <c r="Q122" i="12"/>
  <c r="C122" i="12"/>
  <c r="J123" i="12"/>
  <c r="R121" i="12"/>
  <c r="S121" i="12" s="1"/>
  <c r="B122" i="12" s="1"/>
  <c r="I121" i="12"/>
  <c r="H121" i="12"/>
  <c r="C121" i="12"/>
  <c r="P125" i="12"/>
  <c r="M123" i="12"/>
  <c r="F122" i="12"/>
  <c r="N123" i="12"/>
  <c r="O124" i="12"/>
  <c r="F121" i="12"/>
  <c r="G121" i="12"/>
  <c r="D121" i="12"/>
  <c r="AI116" i="12"/>
  <c r="AI117" i="12"/>
  <c r="W118" i="6"/>
  <c r="AD118" i="6" s="1"/>
  <c r="Y118" i="6"/>
  <c r="AF118" i="6" s="1"/>
  <c r="V118" i="6"/>
  <c r="AC118" i="6" s="1"/>
  <c r="AA118" i="6"/>
  <c r="AH118" i="6" s="1"/>
  <c r="X118" i="6"/>
  <c r="AE118" i="6" s="1"/>
  <c r="Z118" i="6"/>
  <c r="AG118" i="6" s="1"/>
  <c r="AB118" i="6"/>
  <c r="AI118" i="6" s="1"/>
  <c r="AJ117" i="6"/>
  <c r="P123" i="6"/>
  <c r="B120" i="11"/>
  <c r="I119" i="11"/>
  <c r="N124" i="6"/>
  <c r="L123" i="6"/>
  <c r="M123" i="6"/>
  <c r="R120" i="6"/>
  <c r="S120" i="6" s="1"/>
  <c r="B121" i="6" s="1"/>
  <c r="D120" i="6"/>
  <c r="C120" i="11" s="1"/>
  <c r="G120" i="6"/>
  <c r="F120" i="11" s="1"/>
  <c r="F120" i="6"/>
  <c r="E120" i="11" s="1"/>
  <c r="H120" i="6"/>
  <c r="G120" i="11" s="1"/>
  <c r="I120" i="6"/>
  <c r="H120" i="11" s="1"/>
  <c r="E120" i="6"/>
  <c r="D120" i="11" s="1"/>
  <c r="K125" i="6"/>
  <c r="J122" i="6"/>
  <c r="Q121" i="6"/>
  <c r="C121" i="6" s="1"/>
  <c r="O123" i="6"/>
  <c r="K109" i="8"/>
  <c r="L108" i="8"/>
  <c r="M124" i="12" l="1"/>
  <c r="J124" i="12"/>
  <c r="Q123" i="12"/>
  <c r="D123" i="12" s="1"/>
  <c r="R122" i="12"/>
  <c r="S122" i="12"/>
  <c r="B123" i="12" s="1"/>
  <c r="I122" i="12"/>
  <c r="H122" i="12"/>
  <c r="K124" i="12"/>
  <c r="P126" i="12"/>
  <c r="T121" i="12"/>
  <c r="U121" i="12" s="1"/>
  <c r="G122" i="12"/>
  <c r="E122" i="12"/>
  <c r="O125" i="12"/>
  <c r="D122" i="12"/>
  <c r="T122" i="12" s="1"/>
  <c r="U122" i="12" s="1"/>
  <c r="N124" i="12"/>
  <c r="E123" i="12"/>
  <c r="L124" i="12"/>
  <c r="AB118" i="12"/>
  <c r="X118" i="12"/>
  <c r="AE118" i="12" s="1"/>
  <c r="W118" i="12"/>
  <c r="AD118" i="12" s="1"/>
  <c r="V118" i="12"/>
  <c r="AC118" i="12" s="1"/>
  <c r="Y118" i="12"/>
  <c r="AF118" i="12" s="1"/>
  <c r="AA118" i="12"/>
  <c r="AH118" i="12" s="1"/>
  <c r="Z118" i="12"/>
  <c r="AG118" i="12" s="1"/>
  <c r="AJ118" i="6"/>
  <c r="W119" i="6"/>
  <c r="AD119" i="6" s="1"/>
  <c r="AB119" i="6"/>
  <c r="AI119" i="6" s="1"/>
  <c r="Y119" i="6"/>
  <c r="AF119" i="6" s="1"/>
  <c r="V119" i="6"/>
  <c r="AC119" i="6" s="1"/>
  <c r="AA119" i="6"/>
  <c r="AH119" i="6" s="1"/>
  <c r="X119" i="6"/>
  <c r="AE119" i="6" s="1"/>
  <c r="Z119" i="6"/>
  <c r="AG119" i="6" s="1"/>
  <c r="L124" i="6"/>
  <c r="R121" i="6"/>
  <c r="S121" i="6" s="1"/>
  <c r="B122" i="6" s="1"/>
  <c r="D121" i="6"/>
  <c r="C121" i="11" s="1"/>
  <c r="G121" i="6"/>
  <c r="F121" i="11" s="1"/>
  <c r="H121" i="6"/>
  <c r="G121" i="11" s="1"/>
  <c r="F121" i="6"/>
  <c r="E121" i="11" s="1"/>
  <c r="E121" i="6"/>
  <c r="D121" i="11" s="1"/>
  <c r="I121" i="6"/>
  <c r="H121" i="11" s="1"/>
  <c r="M124" i="6"/>
  <c r="B121" i="11"/>
  <c r="J123" i="6"/>
  <c r="Q122" i="6"/>
  <c r="C122" i="6"/>
  <c r="N125" i="6"/>
  <c r="K126" i="6"/>
  <c r="I120" i="11"/>
  <c r="O124" i="6"/>
  <c r="P124" i="6"/>
  <c r="K110" i="8"/>
  <c r="L109" i="8"/>
  <c r="N125" i="12" l="1"/>
  <c r="L125" i="12"/>
  <c r="G123" i="12"/>
  <c r="Q124" i="12"/>
  <c r="C124" i="12" s="1"/>
  <c r="J125" i="12"/>
  <c r="R123" i="12"/>
  <c r="S123" i="12" s="1"/>
  <c r="B124" i="12" s="1"/>
  <c r="I123" i="12"/>
  <c r="H123" i="12"/>
  <c r="O126" i="12"/>
  <c r="K125" i="12"/>
  <c r="M125" i="12"/>
  <c r="P127" i="12"/>
  <c r="C123" i="12"/>
  <c r="T123" i="12" s="1"/>
  <c r="U123" i="12" s="1"/>
  <c r="F123" i="12"/>
  <c r="W120" i="12"/>
  <c r="AD120" i="12" s="1"/>
  <c r="V120" i="12"/>
  <c r="AC120" i="12" s="1"/>
  <c r="Y120" i="12"/>
  <c r="AF120" i="12" s="1"/>
  <c r="Z120" i="12"/>
  <c r="AG120" i="12" s="1"/>
  <c r="X120" i="12"/>
  <c r="AE120" i="12" s="1"/>
  <c r="AB120" i="12"/>
  <c r="AA120" i="12"/>
  <c r="AH120" i="12" s="1"/>
  <c r="Z119" i="12"/>
  <c r="AG119" i="12" s="1"/>
  <c r="Y119" i="12"/>
  <c r="AF119" i="12" s="1"/>
  <c r="X119" i="12"/>
  <c r="AE119" i="12" s="1"/>
  <c r="W119" i="12"/>
  <c r="AD119" i="12" s="1"/>
  <c r="AA119" i="12"/>
  <c r="AH119" i="12" s="1"/>
  <c r="V119" i="12"/>
  <c r="AC119" i="12" s="1"/>
  <c r="AB119" i="12"/>
  <c r="AI118" i="12"/>
  <c r="W120" i="6"/>
  <c r="AD120" i="6" s="1"/>
  <c r="AB120" i="6"/>
  <c r="AI120" i="6" s="1"/>
  <c r="Z120" i="6"/>
  <c r="AG120" i="6" s="1"/>
  <c r="Y120" i="6"/>
  <c r="AF120" i="6" s="1"/>
  <c r="V120" i="6"/>
  <c r="AC120" i="6" s="1"/>
  <c r="AA120" i="6"/>
  <c r="AH120" i="6" s="1"/>
  <c r="X120" i="6"/>
  <c r="AE120" i="6" s="1"/>
  <c r="AJ119" i="6"/>
  <c r="B122" i="11"/>
  <c r="O125" i="6"/>
  <c r="R122" i="6"/>
  <c r="S122" i="6" s="1"/>
  <c r="B123" i="6" s="1"/>
  <c r="D122" i="6"/>
  <c r="C122" i="11" s="1"/>
  <c r="G122" i="6"/>
  <c r="F122" i="11" s="1"/>
  <c r="E122" i="6"/>
  <c r="D122" i="11" s="1"/>
  <c r="H122" i="6"/>
  <c r="G122" i="11" s="1"/>
  <c r="I122" i="6"/>
  <c r="H122" i="11" s="1"/>
  <c r="F122" i="6"/>
  <c r="E122" i="11" s="1"/>
  <c r="J124" i="6"/>
  <c r="Q123" i="6"/>
  <c r="C123" i="6" s="1"/>
  <c r="I121" i="11"/>
  <c r="K127" i="6"/>
  <c r="M125" i="6"/>
  <c r="P125" i="6"/>
  <c r="N126" i="6"/>
  <c r="L125" i="6"/>
  <c r="K111" i="8"/>
  <c r="L110" i="8"/>
  <c r="K126" i="12" l="1"/>
  <c r="J126" i="12"/>
  <c r="Q125" i="12"/>
  <c r="D125" i="12" s="1"/>
  <c r="C125" i="12"/>
  <c r="D124" i="12"/>
  <c r="T124" i="12" s="1"/>
  <c r="U124" i="12" s="1"/>
  <c r="R124" i="12"/>
  <c r="S124" i="12" s="1"/>
  <c r="B125" i="12" s="1"/>
  <c r="I124" i="12"/>
  <c r="H124" i="12"/>
  <c r="L126" i="12"/>
  <c r="P128" i="12"/>
  <c r="E124" i="12"/>
  <c r="F124" i="12"/>
  <c r="G124" i="12"/>
  <c r="O127" i="12"/>
  <c r="M126" i="12"/>
  <c r="G125" i="12"/>
  <c r="N126" i="12"/>
  <c r="AI119" i="12"/>
  <c r="AI120" i="12"/>
  <c r="W121" i="6"/>
  <c r="AD121" i="6" s="1"/>
  <c r="Z121" i="6"/>
  <c r="AG121" i="6" s="1"/>
  <c r="V121" i="6"/>
  <c r="AC121" i="6" s="1"/>
  <c r="AB121" i="6"/>
  <c r="AI121" i="6" s="1"/>
  <c r="Y121" i="6"/>
  <c r="AF121" i="6" s="1"/>
  <c r="X121" i="6"/>
  <c r="AE121" i="6" s="1"/>
  <c r="AA121" i="6"/>
  <c r="AH121" i="6" s="1"/>
  <c r="AJ120" i="6"/>
  <c r="N127" i="6"/>
  <c r="L126" i="6"/>
  <c r="K128" i="6"/>
  <c r="B123" i="11"/>
  <c r="P126" i="6"/>
  <c r="R123" i="6"/>
  <c r="S123" i="6" s="1"/>
  <c r="B124" i="6" s="1"/>
  <c r="D123" i="6"/>
  <c r="C123" i="11" s="1"/>
  <c r="G123" i="6"/>
  <c r="F123" i="11" s="1"/>
  <c r="I123" i="6"/>
  <c r="H123" i="11" s="1"/>
  <c r="H123" i="6"/>
  <c r="G123" i="11" s="1"/>
  <c r="E123" i="6"/>
  <c r="D123" i="11" s="1"/>
  <c r="F123" i="6"/>
  <c r="E123" i="11" s="1"/>
  <c r="J125" i="6"/>
  <c r="Q124" i="6"/>
  <c r="C124" i="6" s="1"/>
  <c r="O126" i="6"/>
  <c r="M126" i="6"/>
  <c r="I122" i="11"/>
  <c r="K112" i="8"/>
  <c r="L111" i="8"/>
  <c r="F125" i="12" l="1"/>
  <c r="Q126" i="12"/>
  <c r="C126" i="12"/>
  <c r="J127" i="12"/>
  <c r="N127" i="12"/>
  <c r="G126" i="12"/>
  <c r="T125" i="12"/>
  <c r="U125" i="12" s="1"/>
  <c r="O128" i="12"/>
  <c r="M127" i="12"/>
  <c r="F126" i="12"/>
  <c r="R125" i="12"/>
  <c r="S125" i="12"/>
  <c r="B126" i="12" s="1"/>
  <c r="I125" i="12"/>
  <c r="H125" i="12"/>
  <c r="K127" i="12"/>
  <c r="P129" i="12"/>
  <c r="L127" i="12"/>
  <c r="E126" i="12"/>
  <c r="E125" i="12"/>
  <c r="AA121" i="12"/>
  <c r="AH121" i="12" s="1"/>
  <c r="V121" i="12"/>
  <c r="AC121" i="12" s="1"/>
  <c r="Z121" i="12"/>
  <c r="AG121" i="12" s="1"/>
  <c r="Y121" i="12"/>
  <c r="AF121" i="12" s="1"/>
  <c r="X121" i="12"/>
  <c r="AE121" i="12" s="1"/>
  <c r="AB121" i="12"/>
  <c r="W121" i="12"/>
  <c r="AD121" i="12" s="1"/>
  <c r="W122" i="6"/>
  <c r="AD122" i="6" s="1"/>
  <c r="Y122" i="6"/>
  <c r="AF122" i="6" s="1"/>
  <c r="X122" i="6"/>
  <c r="AE122" i="6" s="1"/>
  <c r="Z122" i="6"/>
  <c r="AG122" i="6" s="1"/>
  <c r="V122" i="6"/>
  <c r="AC122" i="6" s="1"/>
  <c r="AB122" i="6"/>
  <c r="AI122" i="6" s="1"/>
  <c r="AA122" i="6"/>
  <c r="AH122" i="6" s="1"/>
  <c r="AJ121" i="6"/>
  <c r="I123" i="11"/>
  <c r="M127" i="6"/>
  <c r="O127" i="6"/>
  <c r="J126" i="6"/>
  <c r="Q125" i="6"/>
  <c r="C125" i="6" s="1"/>
  <c r="K129" i="6"/>
  <c r="B124" i="11"/>
  <c r="L127" i="6"/>
  <c r="R124" i="6"/>
  <c r="S124" i="6"/>
  <c r="B125" i="6" s="1"/>
  <c r="D124" i="6"/>
  <c r="C124" i="11" s="1"/>
  <c r="G124" i="6"/>
  <c r="F124" i="11" s="1"/>
  <c r="E124" i="6"/>
  <c r="D124" i="11" s="1"/>
  <c r="H124" i="6"/>
  <c r="G124" i="11" s="1"/>
  <c r="I124" i="6"/>
  <c r="H124" i="11" s="1"/>
  <c r="F124" i="6"/>
  <c r="E124" i="11" s="1"/>
  <c r="P127" i="6"/>
  <c r="N128" i="6"/>
  <c r="K113" i="8"/>
  <c r="L112" i="8"/>
  <c r="N128" i="12" l="1"/>
  <c r="K128" i="12"/>
  <c r="D127" i="12"/>
  <c r="AI121" i="12"/>
  <c r="E127" i="12"/>
  <c r="L128" i="12"/>
  <c r="J128" i="12"/>
  <c r="Q127" i="12"/>
  <c r="P130" i="12"/>
  <c r="T126" i="12"/>
  <c r="U126" i="12" s="1"/>
  <c r="F127" i="12"/>
  <c r="M128" i="12"/>
  <c r="R126" i="12"/>
  <c r="S126" i="12" s="1"/>
  <c r="B127" i="12" s="1"/>
  <c r="I126" i="12"/>
  <c r="H126" i="12"/>
  <c r="D126" i="12"/>
  <c r="O129" i="12"/>
  <c r="Y122" i="12"/>
  <c r="AF122" i="12" s="1"/>
  <c r="X122" i="12"/>
  <c r="AE122" i="12" s="1"/>
  <c r="AA122" i="12"/>
  <c r="AH122" i="12" s="1"/>
  <c r="V122" i="12"/>
  <c r="AC122" i="12" s="1"/>
  <c r="AB122" i="12"/>
  <c r="W122" i="12"/>
  <c r="AD122" i="12" s="1"/>
  <c r="Z122" i="12"/>
  <c r="AG122" i="12" s="1"/>
  <c r="W123" i="6"/>
  <c r="AD123" i="6" s="1"/>
  <c r="AB123" i="6"/>
  <c r="AI123" i="6" s="1"/>
  <c r="AA123" i="6"/>
  <c r="AH123" i="6" s="1"/>
  <c r="Y123" i="6"/>
  <c r="AF123" i="6" s="1"/>
  <c r="X123" i="6"/>
  <c r="AE123" i="6" s="1"/>
  <c r="Z123" i="6"/>
  <c r="AG123" i="6" s="1"/>
  <c r="V123" i="6"/>
  <c r="AC123" i="6" s="1"/>
  <c r="AJ122" i="6"/>
  <c r="I124" i="11"/>
  <c r="B125" i="11"/>
  <c r="P128" i="6"/>
  <c r="R125" i="6"/>
  <c r="S125" i="6" s="1"/>
  <c r="B126" i="6" s="1"/>
  <c r="D125" i="6"/>
  <c r="C125" i="11" s="1"/>
  <c r="G125" i="6"/>
  <c r="F125" i="11" s="1"/>
  <c r="E125" i="6"/>
  <c r="D125" i="11" s="1"/>
  <c r="H125" i="6"/>
  <c r="G125" i="11" s="1"/>
  <c r="I125" i="6"/>
  <c r="H125" i="11" s="1"/>
  <c r="F125" i="6"/>
  <c r="E125" i="11" s="1"/>
  <c r="N129" i="6"/>
  <c r="K130" i="6"/>
  <c r="J127" i="6"/>
  <c r="Q126" i="6"/>
  <c r="C126" i="6" s="1"/>
  <c r="L128" i="6"/>
  <c r="O128" i="6"/>
  <c r="M128" i="6"/>
  <c r="K114" i="8"/>
  <c r="L113" i="8"/>
  <c r="M129" i="12" l="1"/>
  <c r="Q128" i="12"/>
  <c r="C128" i="12"/>
  <c r="J129" i="12"/>
  <c r="O130" i="12"/>
  <c r="P131" i="12"/>
  <c r="R127" i="12"/>
  <c r="S127" i="12" s="1"/>
  <c r="B128" i="12" s="1"/>
  <c r="I127" i="12"/>
  <c r="H127" i="12"/>
  <c r="N129" i="12"/>
  <c r="G128" i="12"/>
  <c r="L129" i="12"/>
  <c r="K129" i="12"/>
  <c r="C127" i="12"/>
  <c r="T127" i="12" s="1"/>
  <c r="U127" i="12" s="1"/>
  <c r="G127" i="12"/>
  <c r="V123" i="12"/>
  <c r="AC123" i="12" s="1"/>
  <c r="AB123" i="12"/>
  <c r="X123" i="12"/>
  <c r="AE123" i="12" s="1"/>
  <c r="W123" i="12"/>
  <c r="AD123" i="12" s="1"/>
  <c r="Z123" i="12"/>
  <c r="AG123" i="12" s="1"/>
  <c r="Y123" i="12"/>
  <c r="AF123" i="12" s="1"/>
  <c r="AA123" i="12"/>
  <c r="AH123" i="12" s="1"/>
  <c r="AI122" i="12"/>
  <c r="W124" i="6"/>
  <c r="AD124" i="6" s="1"/>
  <c r="AA124" i="6"/>
  <c r="AH124" i="6" s="1"/>
  <c r="AB124" i="6"/>
  <c r="AI124" i="6" s="1"/>
  <c r="Y124" i="6"/>
  <c r="AF124" i="6" s="1"/>
  <c r="X124" i="6"/>
  <c r="AE124" i="6" s="1"/>
  <c r="Z124" i="6"/>
  <c r="AG124" i="6" s="1"/>
  <c r="V124" i="6"/>
  <c r="AC124" i="6" s="1"/>
  <c r="AJ123" i="6"/>
  <c r="M129" i="6"/>
  <c r="L129" i="6"/>
  <c r="P129" i="6"/>
  <c r="J128" i="6"/>
  <c r="Q127" i="6"/>
  <c r="I125" i="11"/>
  <c r="K131" i="6"/>
  <c r="O129" i="6"/>
  <c r="N130" i="6"/>
  <c r="B126" i="11"/>
  <c r="R126" i="6"/>
  <c r="S126" i="6" s="1"/>
  <c r="B127" i="6" s="1"/>
  <c r="D126" i="6"/>
  <c r="C126" i="11" s="1"/>
  <c r="G126" i="6"/>
  <c r="F126" i="11" s="1"/>
  <c r="F126" i="6"/>
  <c r="E126" i="11" s="1"/>
  <c r="H126" i="6"/>
  <c r="G126" i="11" s="1"/>
  <c r="E126" i="6"/>
  <c r="D126" i="11" s="1"/>
  <c r="I126" i="6"/>
  <c r="H126" i="11" s="1"/>
  <c r="K115" i="8"/>
  <c r="L114" i="8"/>
  <c r="AJ124" i="6" l="1"/>
  <c r="L130" i="12"/>
  <c r="O131" i="12"/>
  <c r="J130" i="12"/>
  <c r="Q129" i="12"/>
  <c r="C129" i="12" s="1"/>
  <c r="K130" i="12"/>
  <c r="R128" i="12"/>
  <c r="S128" i="12"/>
  <c r="B129" i="12" s="1"/>
  <c r="I128" i="12"/>
  <c r="H128" i="12"/>
  <c r="D128" i="12"/>
  <c r="T128" i="12" s="1"/>
  <c r="U128" i="12" s="1"/>
  <c r="F128" i="12"/>
  <c r="G129" i="12"/>
  <c r="N130" i="12"/>
  <c r="E128" i="12"/>
  <c r="P132" i="12"/>
  <c r="F129" i="12"/>
  <c r="M130" i="12"/>
  <c r="AA124" i="12"/>
  <c r="AH124" i="12" s="1"/>
  <c r="Z124" i="12"/>
  <c r="AG124" i="12" s="1"/>
  <c r="AB124" i="12"/>
  <c r="X124" i="12"/>
  <c r="AE124" i="12" s="1"/>
  <c r="W124" i="12"/>
  <c r="AD124" i="12" s="1"/>
  <c r="V124" i="12"/>
  <c r="AC124" i="12" s="1"/>
  <c r="Y124" i="12"/>
  <c r="AF124" i="12" s="1"/>
  <c r="Y125" i="12"/>
  <c r="AF125" i="12" s="1"/>
  <c r="X125" i="12"/>
  <c r="AE125" i="12" s="1"/>
  <c r="W125" i="12"/>
  <c r="AD125" i="12" s="1"/>
  <c r="Z125" i="12"/>
  <c r="AG125" i="12" s="1"/>
  <c r="AB125" i="12"/>
  <c r="V125" i="12"/>
  <c r="AC125" i="12" s="1"/>
  <c r="AA125" i="12"/>
  <c r="AH125" i="12" s="1"/>
  <c r="AI123" i="12"/>
  <c r="W125" i="6"/>
  <c r="AD125" i="6" s="1"/>
  <c r="AA125" i="6"/>
  <c r="AH125" i="6" s="1"/>
  <c r="AB125" i="6"/>
  <c r="AI125" i="6" s="1"/>
  <c r="Z125" i="6"/>
  <c r="AG125" i="6" s="1"/>
  <c r="X125" i="6"/>
  <c r="AE125" i="6" s="1"/>
  <c r="Y125" i="6"/>
  <c r="AF125" i="6" s="1"/>
  <c r="V125" i="6"/>
  <c r="AC125" i="6" s="1"/>
  <c r="R127" i="6"/>
  <c r="S127" i="6" s="1"/>
  <c r="B128" i="6" s="1"/>
  <c r="D127" i="6"/>
  <c r="C127" i="11" s="1"/>
  <c r="G127" i="6"/>
  <c r="F127" i="11" s="1"/>
  <c r="F127" i="6"/>
  <c r="E127" i="11" s="1"/>
  <c r="I127" i="6"/>
  <c r="H127" i="11" s="1"/>
  <c r="E127" i="6"/>
  <c r="D127" i="11" s="1"/>
  <c r="H127" i="6"/>
  <c r="G127" i="11" s="1"/>
  <c r="J129" i="6"/>
  <c r="Q128" i="6"/>
  <c r="N131" i="6"/>
  <c r="P130" i="6"/>
  <c r="K132" i="6"/>
  <c r="O130" i="6"/>
  <c r="L130" i="6"/>
  <c r="I126" i="11"/>
  <c r="C127" i="6"/>
  <c r="M130" i="6"/>
  <c r="K116" i="8"/>
  <c r="L115" i="8"/>
  <c r="M131" i="12" l="1"/>
  <c r="F130" i="12"/>
  <c r="K131" i="12"/>
  <c r="D130" i="12"/>
  <c r="R129" i="12"/>
  <c r="S129" i="12" s="1"/>
  <c r="B130" i="12" s="1"/>
  <c r="I129" i="12"/>
  <c r="H129" i="12"/>
  <c r="Q130" i="12"/>
  <c r="C130" i="12"/>
  <c r="J131" i="12"/>
  <c r="P133" i="12"/>
  <c r="O132" i="12"/>
  <c r="L131" i="12"/>
  <c r="E130" i="12"/>
  <c r="N131" i="12"/>
  <c r="G130" i="12"/>
  <c r="D129" i="12"/>
  <c r="T129" i="12" s="1"/>
  <c r="U129" i="12" s="1"/>
  <c r="E129" i="12"/>
  <c r="AI124" i="12"/>
  <c r="AI125" i="12"/>
  <c r="W126" i="6"/>
  <c r="AD126" i="6" s="1"/>
  <c r="AA126" i="6"/>
  <c r="AH126" i="6" s="1"/>
  <c r="AB126" i="6"/>
  <c r="AI126" i="6" s="1"/>
  <c r="Z126" i="6"/>
  <c r="AG126" i="6" s="1"/>
  <c r="X126" i="6"/>
  <c r="AE126" i="6" s="1"/>
  <c r="Y126" i="6"/>
  <c r="AF126" i="6" s="1"/>
  <c r="V126" i="6"/>
  <c r="AC126" i="6" s="1"/>
  <c r="AJ125" i="6"/>
  <c r="O131" i="6"/>
  <c r="R128" i="6"/>
  <c r="S128" i="6" s="1"/>
  <c r="B129" i="6" s="1"/>
  <c r="D128" i="6"/>
  <c r="C128" i="11" s="1"/>
  <c r="G128" i="6"/>
  <c r="F128" i="11" s="1"/>
  <c r="E128" i="6"/>
  <c r="D128" i="11" s="1"/>
  <c r="F128" i="6"/>
  <c r="E128" i="11" s="1"/>
  <c r="H128" i="6"/>
  <c r="G128" i="11" s="1"/>
  <c r="I128" i="6"/>
  <c r="H128" i="11" s="1"/>
  <c r="J130" i="6"/>
  <c r="Q129" i="6"/>
  <c r="C129" i="6" s="1"/>
  <c r="L131" i="6"/>
  <c r="K133" i="6"/>
  <c r="M131" i="6"/>
  <c r="B127" i="11"/>
  <c r="I127" i="11" s="1"/>
  <c r="P131" i="6"/>
  <c r="N132" i="6"/>
  <c r="C128" i="6"/>
  <c r="K117" i="8"/>
  <c r="L116" i="8"/>
  <c r="P134" i="12" l="1"/>
  <c r="G131" i="12"/>
  <c r="N132" i="12"/>
  <c r="O133" i="12"/>
  <c r="J132" i="12"/>
  <c r="C131" i="12"/>
  <c r="Q131" i="12"/>
  <c r="K132" i="12"/>
  <c r="D131" i="12"/>
  <c r="R130" i="12"/>
  <c r="S130" i="12"/>
  <c r="B131" i="12" s="1"/>
  <c r="I130" i="12"/>
  <c r="H130" i="12"/>
  <c r="T130" i="12" s="1"/>
  <c r="U130" i="12" s="1"/>
  <c r="F131" i="12"/>
  <c r="M132" i="12"/>
  <c r="E131" i="12"/>
  <c r="L132" i="12"/>
  <c r="V126" i="12"/>
  <c r="AC126" i="12" s="1"/>
  <c r="AB126" i="12"/>
  <c r="W126" i="12"/>
  <c r="AD126" i="12" s="1"/>
  <c r="AA126" i="12"/>
  <c r="AH126" i="12" s="1"/>
  <c r="Y126" i="12"/>
  <c r="AF126" i="12" s="1"/>
  <c r="X126" i="12"/>
  <c r="AE126" i="12" s="1"/>
  <c r="Z126" i="12"/>
  <c r="AG126" i="12" s="1"/>
  <c r="AJ126" i="6"/>
  <c r="W127" i="6"/>
  <c r="AD127" i="6" s="1"/>
  <c r="AA127" i="6"/>
  <c r="AH127" i="6" s="1"/>
  <c r="AB127" i="6"/>
  <c r="AI127" i="6" s="1"/>
  <c r="Z127" i="6"/>
  <c r="AG127" i="6" s="1"/>
  <c r="X127" i="6"/>
  <c r="AE127" i="6" s="1"/>
  <c r="Y127" i="6"/>
  <c r="AF127" i="6" s="1"/>
  <c r="V127" i="6"/>
  <c r="AC127" i="6" s="1"/>
  <c r="N133" i="6"/>
  <c r="K134" i="6"/>
  <c r="L132" i="6"/>
  <c r="B129" i="11"/>
  <c r="P132" i="6"/>
  <c r="R129" i="6"/>
  <c r="S129" i="6" s="1"/>
  <c r="B130" i="6" s="1"/>
  <c r="D129" i="6"/>
  <c r="C129" i="11" s="1"/>
  <c r="G129" i="6"/>
  <c r="F129" i="11" s="1"/>
  <c r="H129" i="6"/>
  <c r="G129" i="11" s="1"/>
  <c r="I129" i="6"/>
  <c r="H129" i="11" s="1"/>
  <c r="F129" i="6"/>
  <c r="E129" i="11" s="1"/>
  <c r="E129" i="6"/>
  <c r="D129" i="11" s="1"/>
  <c r="J131" i="6"/>
  <c r="Q130" i="6"/>
  <c r="C130" i="6" s="1"/>
  <c r="B128" i="11"/>
  <c r="I128" i="11" s="1"/>
  <c r="M132" i="6"/>
  <c r="O132" i="6"/>
  <c r="K118" i="8"/>
  <c r="L117" i="8"/>
  <c r="Q132" i="12" l="1"/>
  <c r="C132" i="12"/>
  <c r="J133" i="12"/>
  <c r="D132" i="12"/>
  <c r="K133" i="12"/>
  <c r="O134" i="12"/>
  <c r="L133" i="12"/>
  <c r="E132" i="12"/>
  <c r="N133" i="12"/>
  <c r="G132" i="12"/>
  <c r="M133" i="12"/>
  <c r="F132" i="12"/>
  <c r="R131" i="12"/>
  <c r="S131" i="12" s="1"/>
  <c r="B132" i="12" s="1"/>
  <c r="I131" i="12"/>
  <c r="H131" i="12"/>
  <c r="T131" i="12" s="1"/>
  <c r="U131" i="12" s="1"/>
  <c r="P135" i="12"/>
  <c r="AA127" i="12"/>
  <c r="AH127" i="12" s="1"/>
  <c r="Z127" i="12"/>
  <c r="AG127" i="12" s="1"/>
  <c r="Y127" i="12"/>
  <c r="AF127" i="12" s="1"/>
  <c r="X127" i="12"/>
  <c r="AE127" i="12" s="1"/>
  <c r="W127" i="12"/>
  <c r="AD127" i="12" s="1"/>
  <c r="V127" i="12"/>
  <c r="AC127" i="12" s="1"/>
  <c r="AB127" i="12"/>
  <c r="AI126" i="12"/>
  <c r="W128" i="6"/>
  <c r="AD128" i="6" s="1"/>
  <c r="Z128" i="6"/>
  <c r="AG128" i="6" s="1"/>
  <c r="AA128" i="6"/>
  <c r="AH128" i="6" s="1"/>
  <c r="V128" i="6"/>
  <c r="AC128" i="6" s="1"/>
  <c r="AB128" i="6"/>
  <c r="AI128" i="6" s="1"/>
  <c r="X128" i="6"/>
  <c r="AE128" i="6" s="1"/>
  <c r="Y128" i="6"/>
  <c r="AF128" i="6" s="1"/>
  <c r="AJ127" i="6"/>
  <c r="I129" i="11"/>
  <c r="K135" i="6"/>
  <c r="J132" i="6"/>
  <c r="Q131" i="6"/>
  <c r="C131" i="6" s="1"/>
  <c r="M133" i="6"/>
  <c r="L133" i="6"/>
  <c r="B130" i="11"/>
  <c r="R130" i="6"/>
  <c r="S130" i="6" s="1"/>
  <c r="B131" i="6" s="1"/>
  <c r="D130" i="6"/>
  <c r="C130" i="11" s="1"/>
  <c r="G130" i="6"/>
  <c r="F130" i="11" s="1"/>
  <c r="F130" i="6"/>
  <c r="E130" i="11" s="1"/>
  <c r="E130" i="6"/>
  <c r="D130" i="11" s="1"/>
  <c r="H130" i="6"/>
  <c r="G130" i="11" s="1"/>
  <c r="I130" i="6"/>
  <c r="H130" i="11" s="1"/>
  <c r="O133" i="6"/>
  <c r="P133" i="6"/>
  <c r="N134" i="6"/>
  <c r="K119" i="8"/>
  <c r="L118" i="8"/>
  <c r="K134" i="12" l="1"/>
  <c r="O135" i="12"/>
  <c r="F133" i="12"/>
  <c r="M134" i="12"/>
  <c r="J134" i="12"/>
  <c r="Q133" i="12"/>
  <c r="AI127" i="12"/>
  <c r="G133" i="12"/>
  <c r="N134" i="12"/>
  <c r="T132" i="12"/>
  <c r="U132" i="12" s="1"/>
  <c r="R132" i="12"/>
  <c r="S132" i="12" s="1"/>
  <c r="B133" i="12" s="1"/>
  <c r="I132" i="12"/>
  <c r="H132" i="12"/>
  <c r="E133" i="12"/>
  <c r="L134" i="12"/>
  <c r="X128" i="12"/>
  <c r="AE128" i="12" s="1"/>
  <c r="W128" i="12"/>
  <c r="AD128" i="12" s="1"/>
  <c r="V128" i="12"/>
  <c r="AC128" i="12" s="1"/>
  <c r="Y128" i="12"/>
  <c r="AF128" i="12" s="1"/>
  <c r="AB128" i="12"/>
  <c r="Z128" i="12"/>
  <c r="AG128" i="12" s="1"/>
  <c r="AA128" i="12"/>
  <c r="AH128" i="12" s="1"/>
  <c r="W129" i="6"/>
  <c r="AD129" i="6" s="1"/>
  <c r="Z129" i="6"/>
  <c r="AG129" i="6" s="1"/>
  <c r="V129" i="6"/>
  <c r="AC129" i="6" s="1"/>
  <c r="Y129" i="6"/>
  <c r="AF129" i="6" s="1"/>
  <c r="AA129" i="6"/>
  <c r="AH129" i="6" s="1"/>
  <c r="AB129" i="6"/>
  <c r="AI129" i="6" s="1"/>
  <c r="X129" i="6"/>
  <c r="AE129" i="6" s="1"/>
  <c r="AJ128" i="6"/>
  <c r="M134" i="6"/>
  <c r="N135" i="6"/>
  <c r="L134" i="6"/>
  <c r="P134" i="6"/>
  <c r="I130" i="11"/>
  <c r="B131" i="11"/>
  <c r="R131" i="6"/>
  <c r="S131" i="6" s="1"/>
  <c r="B132" i="6" s="1"/>
  <c r="D131" i="6"/>
  <c r="C131" i="11" s="1"/>
  <c r="G131" i="6"/>
  <c r="F131" i="11" s="1"/>
  <c r="H131" i="6"/>
  <c r="G131" i="11" s="1"/>
  <c r="F131" i="6"/>
  <c r="E131" i="11" s="1"/>
  <c r="I131" i="6"/>
  <c r="H131" i="11" s="1"/>
  <c r="E131" i="6"/>
  <c r="D131" i="11" s="1"/>
  <c r="O134" i="6"/>
  <c r="J133" i="6"/>
  <c r="Q132" i="6"/>
  <c r="C132" i="6" s="1"/>
  <c r="K120" i="8"/>
  <c r="L119" i="8"/>
  <c r="Q134" i="12" l="1"/>
  <c r="C134" i="12"/>
  <c r="J135" i="12"/>
  <c r="L135" i="12"/>
  <c r="E134" i="12"/>
  <c r="M135" i="12"/>
  <c r="F134" i="12"/>
  <c r="R133" i="12"/>
  <c r="S133" i="12" s="1"/>
  <c r="B134" i="12" s="1"/>
  <c r="I133" i="12"/>
  <c r="H133" i="12"/>
  <c r="D133" i="12"/>
  <c r="N135" i="12"/>
  <c r="G134" i="12"/>
  <c r="C133" i="12"/>
  <c r="T133" i="12" s="1"/>
  <c r="U133" i="12" s="1"/>
  <c r="K135" i="12"/>
  <c r="D134" i="12"/>
  <c r="AB129" i="12"/>
  <c r="AA129" i="12"/>
  <c r="AH129" i="12" s="1"/>
  <c r="V129" i="12"/>
  <c r="AC129" i="12" s="1"/>
  <c r="W129" i="12"/>
  <c r="AD129" i="12" s="1"/>
  <c r="Z129" i="12"/>
  <c r="AG129" i="12" s="1"/>
  <c r="Y129" i="12"/>
  <c r="AF129" i="12" s="1"/>
  <c r="X129" i="12"/>
  <c r="AE129" i="12" s="1"/>
  <c r="AI128" i="12"/>
  <c r="Z130" i="12"/>
  <c r="AG130" i="12" s="1"/>
  <c r="Y130" i="12"/>
  <c r="AF130" i="12" s="1"/>
  <c r="X130" i="12"/>
  <c r="AE130" i="12" s="1"/>
  <c r="AA130" i="12"/>
  <c r="AH130" i="12" s="1"/>
  <c r="AB130" i="12"/>
  <c r="V130" i="12"/>
  <c r="AC130" i="12" s="1"/>
  <c r="W130" i="12"/>
  <c r="AD130" i="12" s="1"/>
  <c r="W130" i="6"/>
  <c r="AD130" i="6" s="1"/>
  <c r="Y130" i="6"/>
  <c r="AF130" i="6" s="1"/>
  <c r="X130" i="6"/>
  <c r="AE130" i="6" s="1"/>
  <c r="Z130" i="6"/>
  <c r="AG130" i="6" s="1"/>
  <c r="V130" i="6"/>
  <c r="AC130" i="6" s="1"/>
  <c r="AB130" i="6"/>
  <c r="AI130" i="6" s="1"/>
  <c r="AA130" i="6"/>
  <c r="AH130" i="6" s="1"/>
  <c r="AJ129" i="6"/>
  <c r="B132" i="11"/>
  <c r="R132" i="6"/>
  <c r="S132" i="6" s="1"/>
  <c r="B133" i="6" s="1"/>
  <c r="D132" i="6"/>
  <c r="C132" i="11" s="1"/>
  <c r="G132" i="6"/>
  <c r="F132" i="11" s="1"/>
  <c r="E132" i="6"/>
  <c r="D132" i="11" s="1"/>
  <c r="I132" i="6"/>
  <c r="H132" i="11" s="1"/>
  <c r="H132" i="6"/>
  <c r="G132" i="11" s="1"/>
  <c r="F132" i="6"/>
  <c r="E132" i="11" s="1"/>
  <c r="P135" i="6"/>
  <c r="I131" i="11"/>
  <c r="J134" i="6"/>
  <c r="Q133" i="6"/>
  <c r="C133" i="6"/>
  <c r="L135" i="6"/>
  <c r="O135" i="6"/>
  <c r="M135" i="6"/>
  <c r="K121" i="8"/>
  <c r="L120" i="8"/>
  <c r="Q135" i="12" l="1"/>
  <c r="C135" i="12" s="1"/>
  <c r="T134" i="12"/>
  <c r="U134" i="12" s="1"/>
  <c r="F135" i="12"/>
  <c r="E135" i="12"/>
  <c r="D135" i="12"/>
  <c r="R134" i="12"/>
  <c r="S134" i="12" s="1"/>
  <c r="B135" i="12" s="1"/>
  <c r="I134" i="12"/>
  <c r="H134" i="12"/>
  <c r="AI130" i="12"/>
  <c r="AI129" i="12"/>
  <c r="AB131" i="6"/>
  <c r="AI131" i="6" s="1"/>
  <c r="W131" i="6"/>
  <c r="AD131" i="6" s="1"/>
  <c r="Y131" i="6"/>
  <c r="AF131" i="6" s="1"/>
  <c r="X131" i="6"/>
  <c r="AE131" i="6" s="1"/>
  <c r="Z131" i="6"/>
  <c r="AG131" i="6" s="1"/>
  <c r="V131" i="6"/>
  <c r="AC131" i="6" s="1"/>
  <c r="AA131" i="6"/>
  <c r="AH131" i="6" s="1"/>
  <c r="AJ130" i="6"/>
  <c r="J135" i="6"/>
  <c r="Q134" i="6"/>
  <c r="C134" i="6"/>
  <c r="I132" i="11"/>
  <c r="B133" i="11"/>
  <c r="R133" i="6"/>
  <c r="S133" i="6" s="1"/>
  <c r="B134" i="6" s="1"/>
  <c r="D133" i="6"/>
  <c r="C133" i="11" s="1"/>
  <c r="G133" i="6"/>
  <c r="F133" i="11" s="1"/>
  <c r="H133" i="6"/>
  <c r="G133" i="11" s="1"/>
  <c r="E133" i="6"/>
  <c r="D133" i="11" s="1"/>
  <c r="F133" i="6"/>
  <c r="E133" i="11" s="1"/>
  <c r="I133" i="6"/>
  <c r="H133" i="11" s="1"/>
  <c r="K122" i="8"/>
  <c r="L122" i="8" s="1"/>
  <c r="L121" i="8"/>
  <c r="R135" i="12" l="1"/>
  <c r="S135" i="12" s="1"/>
  <c r="I135" i="12"/>
  <c r="H135" i="12"/>
  <c r="G135" i="12"/>
  <c r="T135" i="12" s="1"/>
  <c r="U135" i="12" s="1"/>
  <c r="W131" i="12"/>
  <c r="AD131" i="12" s="1"/>
  <c r="V131" i="12"/>
  <c r="AC131" i="12" s="1"/>
  <c r="AB131" i="12"/>
  <c r="X131" i="12"/>
  <c r="AE131" i="12" s="1"/>
  <c r="AA131" i="12"/>
  <c r="AH131" i="12" s="1"/>
  <c r="Z131" i="12"/>
  <c r="AG131" i="12" s="1"/>
  <c r="Y131" i="12"/>
  <c r="AF131" i="12" s="1"/>
  <c r="AA132" i="12"/>
  <c r="AH132" i="12" s="1"/>
  <c r="Z132" i="12"/>
  <c r="AG132" i="12" s="1"/>
  <c r="AB132" i="12"/>
  <c r="X132" i="12"/>
  <c r="AE132" i="12" s="1"/>
  <c r="W132" i="12"/>
  <c r="AD132" i="12" s="1"/>
  <c r="V132" i="12"/>
  <c r="AC132" i="12" s="1"/>
  <c r="Y132" i="12"/>
  <c r="AF132" i="12" s="1"/>
  <c r="AA132" i="6"/>
  <c r="AH132" i="6" s="1"/>
  <c r="AB132" i="6"/>
  <c r="AI132" i="6" s="1"/>
  <c r="Y132" i="6"/>
  <c r="AF132" i="6" s="1"/>
  <c r="X132" i="6"/>
  <c r="AE132" i="6" s="1"/>
  <c r="V132" i="6"/>
  <c r="AC132" i="6" s="1"/>
  <c r="Z132" i="6"/>
  <c r="AG132" i="6" s="1"/>
  <c r="W132" i="6"/>
  <c r="AD132" i="6" s="1"/>
  <c r="AJ131" i="6"/>
  <c r="B134" i="11"/>
  <c r="R134" i="6"/>
  <c r="S134" i="6" s="1"/>
  <c r="B135" i="6" s="1"/>
  <c r="D134" i="6"/>
  <c r="C134" i="11" s="1"/>
  <c r="G134" i="6"/>
  <c r="F134" i="11" s="1"/>
  <c r="I134" i="6"/>
  <c r="H134" i="11" s="1"/>
  <c r="E134" i="6"/>
  <c r="D134" i="11" s="1"/>
  <c r="H134" i="6"/>
  <c r="G134" i="11" s="1"/>
  <c r="F134" i="6"/>
  <c r="E134" i="11" s="1"/>
  <c r="I133" i="11"/>
  <c r="Q135" i="6"/>
  <c r="C135" i="6"/>
  <c r="B4" i="5"/>
  <c r="AI132" i="12" l="1"/>
  <c r="AI131" i="12"/>
  <c r="AJ132" i="6"/>
  <c r="W133" i="6"/>
  <c r="AD133" i="6" s="1"/>
  <c r="AA133" i="6"/>
  <c r="AH133" i="6" s="1"/>
  <c r="AB133" i="6"/>
  <c r="AI133" i="6" s="1"/>
  <c r="Y133" i="6"/>
  <c r="AF133" i="6" s="1"/>
  <c r="V133" i="6"/>
  <c r="AC133" i="6" s="1"/>
  <c r="Z133" i="6"/>
  <c r="AG133" i="6" s="1"/>
  <c r="X133" i="6"/>
  <c r="AE133" i="6" s="1"/>
  <c r="I134" i="11"/>
  <c r="B135" i="11"/>
  <c r="R135" i="6"/>
  <c r="S135" i="6" s="1"/>
  <c r="D135" i="6"/>
  <c r="C135" i="11" s="1"/>
  <c r="G135" i="6"/>
  <c r="F135" i="11" s="1"/>
  <c r="F135" i="6"/>
  <c r="E135" i="11" s="1"/>
  <c r="H135" i="6"/>
  <c r="G135" i="11" s="1"/>
  <c r="E135" i="6"/>
  <c r="D135" i="11" s="1"/>
  <c r="I135" i="6"/>
  <c r="H135" i="11" s="1"/>
  <c r="V134" i="12" l="1"/>
  <c r="AC134" i="12" s="1"/>
  <c r="AB134" i="12"/>
  <c r="W134" i="12"/>
  <c r="AD134" i="12" s="1"/>
  <c r="AA134" i="12"/>
  <c r="AH134" i="12" s="1"/>
  <c r="Z134" i="12"/>
  <c r="AG134" i="12" s="1"/>
  <c r="Y134" i="12"/>
  <c r="AF134" i="12" s="1"/>
  <c r="X134" i="12"/>
  <c r="AE134" i="12" s="1"/>
  <c r="Y133" i="12"/>
  <c r="AF133" i="12" s="1"/>
  <c r="X133" i="12"/>
  <c r="AE133" i="12" s="1"/>
  <c r="W133" i="12"/>
  <c r="AD133" i="12" s="1"/>
  <c r="Z133" i="12"/>
  <c r="AG133" i="12" s="1"/>
  <c r="AB133" i="12"/>
  <c r="AA133" i="12"/>
  <c r="AH133" i="12" s="1"/>
  <c r="V133" i="12"/>
  <c r="AC133" i="12" s="1"/>
  <c r="W134" i="6"/>
  <c r="AD134" i="6" s="1"/>
  <c r="AB134" i="6"/>
  <c r="AI134" i="6" s="1"/>
  <c r="AA134" i="6"/>
  <c r="AH134" i="6" s="1"/>
  <c r="Y134" i="6"/>
  <c r="AF134" i="6" s="1"/>
  <c r="V134" i="6"/>
  <c r="AC134" i="6" s="1"/>
  <c r="Z134" i="6"/>
  <c r="AG134" i="6" s="1"/>
  <c r="X134" i="6"/>
  <c r="AE134" i="6" s="1"/>
  <c r="AJ133" i="6"/>
  <c r="I135" i="11"/>
  <c r="AI134" i="12" l="1"/>
  <c r="AI133" i="12"/>
  <c r="W135" i="6"/>
  <c r="AD135" i="6" s="1"/>
  <c r="AA135" i="6"/>
  <c r="AH135" i="6" s="1"/>
  <c r="AB135" i="6"/>
  <c r="AI135" i="6" s="1"/>
  <c r="X135" i="6"/>
  <c r="AE135" i="6" s="1"/>
  <c r="Y135" i="6"/>
  <c r="AF135" i="6" s="1"/>
  <c r="V135" i="6"/>
  <c r="AC135" i="6" s="1"/>
  <c r="Z135" i="6"/>
  <c r="AG135" i="6" s="1"/>
  <c r="AJ134" i="6"/>
  <c r="AJ135" i="6" l="1"/>
  <c r="AA135" i="12"/>
  <c r="AH135" i="12" s="1"/>
  <c r="Z135" i="12"/>
  <c r="AG135" i="12" s="1"/>
  <c r="Y135" i="12"/>
  <c r="AF135" i="12" s="1"/>
  <c r="X135" i="12"/>
  <c r="AE135" i="12" s="1"/>
  <c r="W135" i="12"/>
  <c r="AD135" i="12" s="1"/>
  <c r="V135" i="12"/>
  <c r="AC135" i="12" s="1"/>
  <c r="AB135" i="12"/>
  <c r="AI135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<sst xmlns="http://schemas.openxmlformats.org/spreadsheetml/2006/main" count="219" uniqueCount="86">
  <si>
    <t>Implementation Breakdown</t>
  </si>
  <si>
    <t xml:space="preserve">Date </t>
  </si>
  <si>
    <t>SPY</t>
  </si>
  <si>
    <t>EFA</t>
  </si>
  <si>
    <t>EEM</t>
  </si>
  <si>
    <t>IEF</t>
  </si>
  <si>
    <t>LQD</t>
  </si>
  <si>
    <t>VNQ</t>
  </si>
  <si>
    <t>IGF</t>
  </si>
  <si>
    <t>Asset Sleeve</t>
  </si>
  <si>
    <t>ETF Proxy</t>
  </si>
  <si>
    <t>Ticker</t>
  </si>
  <si>
    <t>US Equity</t>
  </si>
  <si>
    <t>S&amp;P 500 ETF</t>
  </si>
  <si>
    <t>Dev ex-US</t>
  </si>
  <si>
    <t>MSCI EAFE ETF</t>
  </si>
  <si>
    <t>Emerging Markets</t>
  </si>
  <si>
    <t>MSCI EM ETF</t>
  </si>
  <si>
    <t>US Treasuries</t>
  </si>
  <si>
    <t>7–10Y Treasury ETF</t>
  </si>
  <si>
    <t>IG Corporate Bonds</t>
  </si>
  <si>
    <t>Investment Grade Corp</t>
  </si>
  <si>
    <t>REITs</t>
  </si>
  <si>
    <t>US REIT ETF</t>
  </si>
  <si>
    <t>Infrastructure</t>
  </si>
  <si>
    <t>Global Infra ETF</t>
  </si>
  <si>
    <t>ETF</t>
  </si>
  <si>
    <t>Target Weight</t>
  </si>
  <si>
    <t>Global Equity</t>
  </si>
  <si>
    <t>EM</t>
  </si>
  <si>
    <t>Fixed Income</t>
  </si>
  <si>
    <t>Credit</t>
  </si>
  <si>
    <t>Real Estate</t>
  </si>
  <si>
    <t>Date</t>
  </si>
  <si>
    <t>Portfolio Return</t>
  </si>
  <si>
    <t>Portfolio Value</t>
  </si>
  <si>
    <t>Annualized Return</t>
  </si>
  <si>
    <t>Standard Deviation</t>
  </si>
  <si>
    <t>Sharpe Ratio</t>
  </si>
  <si>
    <t>Max Drawdown</t>
  </si>
  <si>
    <t>Peak</t>
  </si>
  <si>
    <t>Drawdown</t>
  </si>
  <si>
    <t>DATE</t>
  </si>
  <si>
    <t xml:space="preserve">ANNUAL SPENDING RATE </t>
  </si>
  <si>
    <t xml:space="preserve">MONTHLY SPENDING RATE </t>
  </si>
  <si>
    <t>SPY WT</t>
  </si>
  <si>
    <t>EFA WT</t>
  </si>
  <si>
    <t>EEM WT</t>
  </si>
  <si>
    <t>IEF WT</t>
  </si>
  <si>
    <t>LQD WT</t>
  </si>
  <si>
    <t>VNQ WT</t>
  </si>
  <si>
    <t>IGF WT</t>
  </si>
  <si>
    <t>PRE SPEND VAL</t>
  </si>
  <si>
    <t>SPENDING</t>
  </si>
  <si>
    <t>END VALUE</t>
  </si>
  <si>
    <t>TARGET WEIGHTS</t>
  </si>
  <si>
    <t>SPY$</t>
  </si>
  <si>
    <t>EFA$</t>
  </si>
  <si>
    <t>EEM$</t>
  </si>
  <si>
    <t>IEF$</t>
  </si>
  <si>
    <t>LQD$</t>
  </si>
  <si>
    <t>VNQ$</t>
  </si>
  <si>
    <t>IGF$</t>
  </si>
  <si>
    <t>Min</t>
  </si>
  <si>
    <t>High</t>
  </si>
  <si>
    <t>Rebalance</t>
  </si>
  <si>
    <t>START PORFOLIO VALUE</t>
  </si>
  <si>
    <t>START VALUE</t>
  </si>
  <si>
    <t>SPY DEV</t>
  </si>
  <si>
    <t xml:space="preserve">REBALANCE </t>
  </si>
  <si>
    <t>Post-rebalance $ SPY</t>
  </si>
  <si>
    <t>PR EFA</t>
  </si>
  <si>
    <t>PR EEM</t>
  </si>
  <si>
    <t>PR IEF</t>
  </si>
  <si>
    <t>PRLQD</t>
  </si>
  <si>
    <t>PR VNQ</t>
  </si>
  <si>
    <t>PR IGF</t>
  </si>
  <si>
    <t>END SPY</t>
  </si>
  <si>
    <t>END EFA</t>
  </si>
  <si>
    <t>END EEM</t>
  </si>
  <si>
    <t>END IEF</t>
  </si>
  <si>
    <t>END LQD</t>
  </si>
  <si>
    <t>END VNQ</t>
  </si>
  <si>
    <t>END IGF</t>
  </si>
  <si>
    <t>REBALANCE</t>
  </si>
  <si>
    <t>PR $ SPY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</si>
</sst>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,,&quot;M&quot;\ "/>
    <numFmt numFmtId="165" formatCode="0.00000000000000000%"/>
    <numFmt numFmtId="166" formatCode="0.0000%"/>
    <numFmt numFmtId="168" formatCode="0.000%"/>
    <numFmt numFmtId="169" formatCode="&quot;$&quot;#,##0.0000,,&quot;M&quot;\ 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FF00"/>
      <name val="Aptos Narrow"/>
      <family val="2"/>
      <scheme val="minor"/>
    </font>
    <font>
      <b/>
      <sz val="12"/>
      <color rgb="FFFFFF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FF00"/>
      <name val="Aptos Narrow (Body)"/>
    </font>
    <font>
      <b/>
      <sz val="12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9" fontId="2" fillId="2" borderId="0" xfId="0" applyNumberFormat="1" applyFont="1" applyFill="1"/>
    <xf numFmtId="9" fontId="4" fillId="3" borderId="0" xfId="0" applyNumberFormat="1" applyFont="1" applyFill="1"/>
    <xf numFmtId="0" fontId="0" fillId="4" borderId="0" xfId="0" applyFill="1"/>
    <xf numFmtId="10" fontId="0" fillId="0" borderId="0" xfId="0" applyNumberFormat="1"/>
    <xf numFmtId="0" fontId="6" fillId="2" borderId="0" xfId="0" applyFont="1" applyFill="1"/>
    <xf numFmtId="164" fontId="0" fillId="0" borderId="0" xfId="0" applyNumberFormat="1"/>
    <xf numFmtId="165" fontId="0" fillId="0" borderId="0" xfId="0" applyNumberFormat="1"/>
    <xf numFmtId="9" fontId="1" fillId="0" borderId="0" xfId="0" applyNumberFormat="1" applyFont="1" applyAlignment="1">
      <alignment horizontal="center"/>
    </xf>
    <xf numFmtId="0" fontId="2" fillId="2" borderId="0" xfId="0" applyFont="1" applyFill="1"/>
    <xf numFmtId="166" fontId="0" fillId="0" borderId="0" xfId="0" applyNumberFormat="1"/>
    <xf numFmtId="0" fontId="2" fillId="6" borderId="0" xfId="0" applyFont="1" applyFill="1" applyAlignment="1">
      <alignment horizontal="center"/>
    </xf>
    <xf numFmtId="168" fontId="0" fillId="0" borderId="0" xfId="0" applyNumberFormat="1"/>
    <xf numFmtId="10" fontId="2" fillId="2" borderId="0" xfId="0" applyNumberFormat="1" applyFont="1" applyFill="1"/>
    <xf numFmtId="169" fontId="0" fillId="0" borderId="0" xfId="0" applyNumberFormat="1"/>
    <xf numFmtId="10" fontId="0" fillId="0" borderId="0" xfId="0" applyNumberFormat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9" fontId="0" fillId="5" borderId="0" xfId="0" applyNumberForma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A619-9553-4B40-87E5-FAD5375B65E1}">
  <dimension ref="A1"/>
  <sheetViews>
    <sheetView workbookViewId="0">
      <selection activeCell="B34" sqref="B34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6918-C190-2B4E-BBC1-D8EA3C5FA031}">
  <dimension ref="A1"/>
  <sheetViews>
    <sheetView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DAF92-A8AA-ED44-AE0D-74338773B03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DA9F-A736-714F-BC8F-E78CD71E32FC}">
  <dimension ref="A1:B4"/>
  <sheetViews>
    <sheetView zoomScale="245" workbookViewId="0">
      <selection sqref="A1:A4"/>
    </sheetView>
  </sheetViews>
  <sheetFormatPr baseColWidth="10" defaultRowHeight="16" x14ac:dyDescent="0.2"/>
  <cols>
    <col min="1" max="1" width="15.83203125" bestFit="1" customWidth="1"/>
    <col min="2" max="2" width="24.5" bestFit="1" customWidth="1"/>
  </cols>
  <sheetData>
    <row r="1" spans="1:2" x14ac:dyDescent="0.2">
      <c r="A1" s="15" t="s">
        <v>36</v>
      </c>
      <c r="B1" s="13" cm="1">
        <f t="array" ref="B1">(GEOMEAN(1+Returns!I3:I122)^12)-1</f>
        <v>7.9657946889537978E-2</v>
      </c>
    </row>
    <row r="2" spans="1:2" x14ac:dyDescent="0.2">
      <c r="A2" s="15" t="s">
        <v>37</v>
      </c>
      <c r="B2">
        <f>_xlfn.STDEV.S(Returns!I3:I122)*SQRT(12)</f>
        <v>0.10920076077257215</v>
      </c>
    </row>
    <row r="3" spans="1:2" x14ac:dyDescent="0.2">
      <c r="A3" s="15" t="s">
        <v>38</v>
      </c>
      <c r="B3">
        <f>(B1-3%)/B2</f>
        <v>0.45473993531014406</v>
      </c>
    </row>
    <row r="4" spans="1:2" x14ac:dyDescent="0.2">
      <c r="A4" s="15" t="s">
        <v>39</v>
      </c>
      <c r="B4" s="10">
        <f>MIN(Returns!L3:L122)</f>
        <v>-0.22131319405030825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4AC99-4FA8-D648-BD8D-EE16D4B9FAB8}">
  <dimension ref="A1:AK188"/>
  <sheetViews>
    <sheetView tabSelected="1" topLeftCell="X1" zoomScale="132" zoomScaleNormal="50" workbookViewId="0">
      <selection activeCell="AE11" sqref="AE11"/>
    </sheetView>
  </sheetViews>
  <sheetFormatPr baseColWidth="10" defaultRowHeight="16" x14ac:dyDescent="0.2"/>
  <cols>
    <col min="1" max="1" width="23.5" bestFit="1" customWidth="1"/>
    <col min="2" max="2" width="15.6640625" bestFit="1" customWidth="1"/>
    <col min="3" max="3" width="22.5" bestFit="1" customWidth="1"/>
    <col min="4" max="4" width="10.1640625" bestFit="1" customWidth="1"/>
    <col min="10" max="11" width="16.33203125" bestFit="1" customWidth="1"/>
    <col min="12" max="12" width="15.1640625" bestFit="1" customWidth="1"/>
    <col min="13" max="16" width="16.33203125" bestFit="1" customWidth="1"/>
    <col min="17" max="17" width="16.1640625" bestFit="1" customWidth="1"/>
    <col min="18" max="18" width="12.33203125" bestFit="1" customWidth="1"/>
    <col min="19" max="19" width="16.1640625" bestFit="1" customWidth="1"/>
    <col min="20" max="20" width="16.1640625" customWidth="1"/>
    <col min="22" max="22" width="18.33203125" bestFit="1" customWidth="1"/>
    <col min="23" max="23" width="9.33203125" bestFit="1" customWidth="1"/>
    <col min="24" max="24" width="8.6640625" bestFit="1" customWidth="1"/>
    <col min="25" max="25" width="9.33203125" bestFit="1" customWidth="1"/>
  </cols>
  <sheetData>
    <row r="1" spans="1:37" x14ac:dyDescent="0.2">
      <c r="A1" s="15" t="s">
        <v>66</v>
      </c>
      <c r="B1" s="12">
        <v>100000000</v>
      </c>
    </row>
    <row r="2" spans="1:37" x14ac:dyDescent="0.2">
      <c r="A2" s="15" t="s">
        <v>43</v>
      </c>
      <c r="B2" s="10">
        <v>4.2500000000000003E-2</v>
      </c>
    </row>
    <row r="3" spans="1:37" x14ac:dyDescent="0.2">
      <c r="A3" s="15" t="s">
        <v>44</v>
      </c>
      <c r="B3" s="16">
        <f>B2/12</f>
        <v>3.5416666666666669E-3</v>
      </c>
    </row>
    <row r="5" spans="1:37" x14ac:dyDescent="0.2">
      <c r="A5" t="s">
        <v>55</v>
      </c>
    </row>
    <row r="6" spans="1:37" x14ac:dyDescent="0.2">
      <c r="A6" s="25" t="s">
        <v>9</v>
      </c>
      <c r="B6" s="25" t="s">
        <v>26</v>
      </c>
      <c r="C6" s="25" t="s">
        <v>27</v>
      </c>
      <c r="D6" s="25" t="s">
        <v>63</v>
      </c>
      <c r="E6" s="25" t="s">
        <v>64</v>
      </c>
    </row>
    <row r="7" spans="1:37" x14ac:dyDescent="0.2">
      <c r="A7" s="22" t="s">
        <v>28</v>
      </c>
      <c r="B7" s="23" t="s">
        <v>2</v>
      </c>
      <c r="C7" s="24">
        <v>0.3</v>
      </c>
      <c r="D7" s="21">
        <v>0.25</v>
      </c>
      <c r="E7" s="21">
        <v>0.35</v>
      </c>
    </row>
    <row r="8" spans="1:37" x14ac:dyDescent="0.2">
      <c r="A8" s="22" t="s">
        <v>14</v>
      </c>
      <c r="B8" s="23" t="s">
        <v>3</v>
      </c>
      <c r="C8" s="24">
        <v>0.15</v>
      </c>
      <c r="D8" s="21">
        <v>0.1</v>
      </c>
      <c r="E8" s="21">
        <v>0.2</v>
      </c>
    </row>
    <row r="9" spans="1:37" x14ac:dyDescent="0.2">
      <c r="A9" s="22" t="s">
        <v>29</v>
      </c>
      <c r="B9" s="23" t="s">
        <v>4</v>
      </c>
      <c r="C9" s="24">
        <v>0.05</v>
      </c>
      <c r="D9" s="21">
        <v>0.02</v>
      </c>
      <c r="E9" s="21">
        <v>7.0000000000000007E-2</v>
      </c>
    </row>
    <row r="10" spans="1:37" x14ac:dyDescent="0.2">
      <c r="A10" s="22" t="s">
        <v>30</v>
      </c>
      <c r="B10" s="23" t="s">
        <v>5</v>
      </c>
      <c r="C10" s="24">
        <v>0.2</v>
      </c>
      <c r="D10" s="21">
        <v>0.15</v>
      </c>
      <c r="E10" s="21">
        <v>0.25</v>
      </c>
    </row>
    <row r="11" spans="1:37" x14ac:dyDescent="0.2">
      <c r="A11" s="22" t="s">
        <v>31</v>
      </c>
      <c r="B11" s="23" t="s">
        <v>6</v>
      </c>
      <c r="C11" s="24">
        <v>0.1</v>
      </c>
      <c r="D11" s="21">
        <v>0.05</v>
      </c>
      <c r="E11" s="21">
        <v>0.15</v>
      </c>
    </row>
    <row r="12" spans="1:37" x14ac:dyDescent="0.2">
      <c r="A12" s="22" t="s">
        <v>32</v>
      </c>
      <c r="B12" s="23" t="s">
        <v>7</v>
      </c>
      <c r="C12" s="24">
        <v>0.1</v>
      </c>
      <c r="D12" s="21">
        <v>0.05</v>
      </c>
      <c r="E12" s="21">
        <v>0.15</v>
      </c>
    </row>
    <row r="13" spans="1:37" x14ac:dyDescent="0.2">
      <c r="A13" s="22" t="s">
        <v>24</v>
      </c>
      <c r="B13" s="23" t="s">
        <v>8</v>
      </c>
      <c r="C13" s="24">
        <v>0.1</v>
      </c>
      <c r="D13" s="21">
        <v>0.05</v>
      </c>
      <c r="E13" s="21">
        <v>0.15</v>
      </c>
    </row>
    <row r="15" spans="1:37" x14ac:dyDescent="0.2">
      <c r="A15" s="17" t="s">
        <v>42</v>
      </c>
      <c r="B15" s="2" t="s">
        <v>67</v>
      </c>
      <c r="C15" s="2" t="s">
        <v>45</v>
      </c>
      <c r="D15" s="2" t="s">
        <v>46</v>
      </c>
      <c r="E15" s="2" t="s">
        <v>47</v>
      </c>
      <c r="F15" s="2" t="s">
        <v>48</v>
      </c>
      <c r="G15" s="2" t="s">
        <v>49</v>
      </c>
      <c r="H15" s="2" t="s">
        <v>50</v>
      </c>
      <c r="I15" s="2" t="s">
        <v>51</v>
      </c>
      <c r="J15" s="19" t="s">
        <v>56</v>
      </c>
      <c r="K15" s="2" t="s">
        <v>57</v>
      </c>
      <c r="L15" s="2" t="s">
        <v>58</v>
      </c>
      <c r="M15" s="2" t="s">
        <v>59</v>
      </c>
      <c r="N15" s="2" t="s">
        <v>60</v>
      </c>
      <c r="O15" s="2" t="s">
        <v>61</v>
      </c>
      <c r="P15" s="2" t="s">
        <v>62</v>
      </c>
      <c r="Q15" s="2" t="s">
        <v>52</v>
      </c>
      <c r="R15" s="2" t="s">
        <v>53</v>
      </c>
      <c r="S15" s="2" t="s">
        <v>54</v>
      </c>
      <c r="T15" s="2"/>
      <c r="U15" s="2" t="s">
        <v>65</v>
      </c>
      <c r="V15" s="15" t="s">
        <v>85</v>
      </c>
      <c r="W15" s="2" t="s">
        <v>71</v>
      </c>
      <c r="X15" s="2" t="s">
        <v>72</v>
      </c>
      <c r="Y15" s="2" t="s">
        <v>73</v>
      </c>
      <c r="Z15" s="2" t="s">
        <v>74</v>
      </c>
      <c r="AA15" s="2" t="s">
        <v>75</v>
      </c>
      <c r="AB15" s="2" t="s">
        <v>76</v>
      </c>
      <c r="AC15" s="2" t="s">
        <v>77</v>
      </c>
      <c r="AD15" s="2" t="s">
        <v>78</v>
      </c>
      <c r="AE15" s="2" t="s">
        <v>79</v>
      </c>
      <c r="AF15" s="2" t="s">
        <v>80</v>
      </c>
      <c r="AG15" s="2" t="s">
        <v>81</v>
      </c>
      <c r="AH15" s="2" t="s">
        <v>82</v>
      </c>
      <c r="AI15" s="2" t="s">
        <v>83</v>
      </c>
      <c r="AJ15" s="2" t="s">
        <v>54</v>
      </c>
      <c r="AK15" s="2" t="s">
        <v>84</v>
      </c>
    </row>
    <row r="16" spans="1:37" x14ac:dyDescent="0.2">
      <c r="A16" s="1">
        <f>Returns!A3</f>
        <v>42460</v>
      </c>
      <c r="B16" s="12">
        <f>B1</f>
        <v>100000000</v>
      </c>
      <c r="C16" s="10">
        <v>0.3</v>
      </c>
      <c r="D16" s="10">
        <v>0.15</v>
      </c>
      <c r="E16" s="10">
        <v>0.05</v>
      </c>
      <c r="F16" s="10">
        <v>0.2</v>
      </c>
      <c r="G16" s="10">
        <v>0.1</v>
      </c>
      <c r="H16" s="10">
        <v>0.1</v>
      </c>
      <c r="I16" s="10">
        <v>0.1</v>
      </c>
      <c r="J16" s="12">
        <f>C16*$B16</f>
        <v>30000000</v>
      </c>
      <c r="K16" s="12">
        <f>D16*$B16</f>
        <v>15000000</v>
      </c>
      <c r="L16" s="12">
        <f>E16*$B16</f>
        <v>5000000</v>
      </c>
      <c r="M16" s="12">
        <f t="shared" ref="M16:P16" si="0">F16*$B16</f>
        <v>20000000</v>
      </c>
      <c r="N16" s="12">
        <f t="shared" si="0"/>
        <v>10000000</v>
      </c>
      <c r="O16" s="12">
        <f t="shared" si="0"/>
        <v>10000000</v>
      </c>
      <c r="P16" s="12">
        <f t="shared" si="0"/>
        <v>10000000</v>
      </c>
      <c r="Q16" s="12">
        <f>SUM(J16:P16)</f>
        <v>100000000</v>
      </c>
      <c r="R16" s="12">
        <f>Q16*$B$3</f>
        <v>354166.66666666669</v>
      </c>
      <c r="S16" s="12">
        <f>Q16-R16</f>
        <v>99645833.333333328</v>
      </c>
      <c r="T16" s="12"/>
      <c r="U16" t="b">
        <f>OR(
  C16&lt;25%,C16&gt;35%,
  D16&lt;10%,D16&gt;20%,
  E16&lt;2%, E16&gt;7%,
  F16&lt;15%,F16&gt;25%,
  G16&lt;5%, G16&gt;15%,
  H16&lt;5%, H16&gt;15%,
  I16&lt;5%, I16&gt;15%
)</f>
        <v>0</v>
      </c>
      <c r="V16" s="12">
        <f>IF($U16=TRUE, $Q16*$C$7, $J16)</f>
        <v>30000000</v>
      </c>
      <c r="W16" s="12">
        <f>IF($U16=TRUE, $Q16*$C$8, $K16)</f>
        <v>15000000</v>
      </c>
      <c r="X16" s="12">
        <f>IF($U16=TRUE, $Q16*$C$9, $L16)</f>
        <v>5000000</v>
      </c>
      <c r="Y16" s="12">
        <f>IF($U16=TRUE, $Q16*$C$10, $M16)</f>
        <v>20000000</v>
      </c>
      <c r="Z16" s="12">
        <f>IF($U16=TRUE, $Q16*$C$11, $N16)</f>
        <v>10000000</v>
      </c>
      <c r="AA16" s="12">
        <f>IF($U16=TRUE, $Q16*$C$12, $O16)</f>
        <v>10000000</v>
      </c>
      <c r="AB16" s="12">
        <f>IF($U16=TRUE, $Q16*$C$13, $P16)</f>
        <v>10000000</v>
      </c>
      <c r="AC16" s="12">
        <f>V16*(1-$B$3)</f>
        <v>29893750</v>
      </c>
      <c r="AD16" s="12">
        <f>W16*(1-$B$3)</f>
        <v>14946875</v>
      </c>
      <c r="AE16" s="12">
        <f>X16*(1-$B$3)</f>
        <v>4982291.666666667</v>
      </c>
      <c r="AF16" s="12">
        <f>Y16*(1-$B$3)</f>
        <v>19929166.666666668</v>
      </c>
      <c r="AG16" s="12">
        <f>Z16*(1-$B$3)</f>
        <v>9964583.333333334</v>
      </c>
      <c r="AH16" s="12">
        <f>AA16*(1-$B$3)</f>
        <v>9964583.333333334</v>
      </c>
      <c r="AI16" s="12">
        <f>AB16*(1-$B$3)</f>
        <v>9964583.333333334</v>
      </c>
      <c r="AJ16" s="12">
        <f>SUM(AC16:AI16)</f>
        <v>99645833.333333313</v>
      </c>
      <c r="AK16" s="12" t="b">
        <f>OR(
  V16&lt;25%,V16&gt;35%,
  W16&lt;10%,W16&gt;20%,
  X16&lt;2%, X16&gt;7%,
  Y16&lt;15%,Y16&gt;25%,
  Z16&lt;5%, Z16&gt;15%,
  AA16&lt;5%,AA16&gt;15%,
  AB16&lt;5%, AB16&gt;15%
)</f>
        <v>1</v>
      </c>
    </row>
    <row r="17" spans="1:37" x14ac:dyDescent="0.2">
      <c r="A17" s="1">
        <f>Returns!A4</f>
        <v>42490</v>
      </c>
      <c r="B17" s="20">
        <f>S16</f>
        <v>99645833.333333328</v>
      </c>
      <c r="C17" s="18">
        <f>J17/$Q17</f>
        <v>0.29938357956236905</v>
      </c>
      <c r="D17" s="18">
        <f t="shared" ref="D17:I32" si="1">K17/$Q17</f>
        <v>0.15244135718304616</v>
      </c>
      <c r="E17" s="18">
        <f t="shared" si="1"/>
        <v>4.9940418854195569E-2</v>
      </c>
      <c r="F17" s="18">
        <f t="shared" si="1"/>
        <v>0.19849883685118272</v>
      </c>
      <c r="G17" s="18">
        <f t="shared" si="1"/>
        <v>0.10099885356227253</v>
      </c>
      <c r="H17" s="18">
        <f>O17/$Q17</f>
        <v>9.7083342303367418E-2</v>
      </c>
      <c r="I17" s="18">
        <f t="shared" si="1"/>
        <v>0.10165361168356643</v>
      </c>
      <c r="J17" s="12">
        <f>J16*(1+Returns!B4)</f>
        <v>30113810.090028871</v>
      </c>
      <c r="K17" s="12">
        <f>K16*(1+Returns!C4)</f>
        <v>15333473.154362418</v>
      </c>
      <c r="L17" s="12">
        <f>L16*(1+Returns!D4)</f>
        <v>5023309.1988214524</v>
      </c>
      <c r="M17" s="12">
        <f>M16*(1+Returns!E4)</f>
        <v>19966212.858988371</v>
      </c>
      <c r="N17" s="12">
        <f>N16*(1+Returns!F4)</f>
        <v>10159075.190198597</v>
      </c>
      <c r="O17" s="12">
        <f>O16*(1+Returns!G4)</f>
        <v>9765229.4000306875</v>
      </c>
      <c r="P17" s="12">
        <f>P16*(1+Returns!H4)</f>
        <v>10224934.719797283</v>
      </c>
      <c r="Q17" s="12">
        <f t="shared" ref="Q17:Q80" si="2">SUM(J17:P17)</f>
        <v>100586044.61222769</v>
      </c>
      <c r="R17" s="12">
        <f t="shared" ref="R17:R80" si="3">Q17*$B$3</f>
        <v>356242.24133497308</v>
      </c>
      <c r="S17" s="12">
        <f t="shared" ref="S17:S80" si="4">Q17-R17</f>
        <v>100229802.37089272</v>
      </c>
      <c r="T17" s="12"/>
      <c r="U17" t="b">
        <f t="shared" ref="U17:U80" si="5">OR(
  C17&lt;25%,C17&gt;35%,
  D17&lt;10%,D17&gt;20%,
  E17&lt;2%, E17&gt;7%,
  F17&lt;15%,F17&gt;25%,
  G17&lt;5%, G17&gt;15%,
  H17&lt;5%, H17&gt;15%,
  I17&lt;5%, I17&gt;15%
)</f>
        <v>0</v>
      </c>
      <c r="V17" s="12">
        <f>IF($U17=TRUE, $Q17*$C$7, $J17)</f>
        <v>30113810.090028871</v>
      </c>
      <c r="W17" s="12">
        <f>IF($U17=TRUE, $Q17*$C$8, $K17)</f>
        <v>15333473.154362418</v>
      </c>
      <c r="X17" s="12">
        <f>IF($U17=TRUE, $Q17*$C$9, $L17)</f>
        <v>5023309.1988214524</v>
      </c>
      <c r="Y17" s="12">
        <f>IF($U17=TRUE, $Q17*$C$10, $M17)</f>
        <v>19966212.858988371</v>
      </c>
      <c r="Z17" s="12">
        <f>IF($U17=TRUE, $Q17*$C$11, $N17)</f>
        <v>10159075.190198597</v>
      </c>
      <c r="AA17" s="12">
        <f>IF($U17=TRUE, $Q17*$C$12, $O17)</f>
        <v>9765229.4000306875</v>
      </c>
      <c r="AB17" s="12">
        <f>IF($U17=TRUE, $Q17*$C$13, $P17)</f>
        <v>10224934.719797283</v>
      </c>
      <c r="AC17" s="12">
        <f>V17*(1-$B$3)</f>
        <v>30007157.012626685</v>
      </c>
      <c r="AD17" s="12">
        <f t="shared" ref="AD17:AD80" si="6">W17*(1-$B$3)</f>
        <v>15279167.103607384</v>
      </c>
      <c r="AE17" s="12">
        <f t="shared" ref="AE17:AE80" si="7">X17*(1-$B$3)</f>
        <v>5005518.3120756261</v>
      </c>
      <c r="AF17" s="12">
        <f t="shared" ref="AF17:AF80" si="8">Y17*(1-$B$3)</f>
        <v>19895499.188446119</v>
      </c>
      <c r="AG17" s="12">
        <f t="shared" ref="AG17:AG80" si="9">Z17*(1-$B$3)</f>
        <v>10123095.13223331</v>
      </c>
      <c r="AH17" s="12">
        <f t="shared" ref="AH17:AH80" si="10">AA17*(1-$B$3)</f>
        <v>9730644.2125722449</v>
      </c>
      <c r="AI17" s="12">
        <f t="shared" ref="AI17:AI80" si="11">AB17*(1-$B$3)</f>
        <v>10188721.409331335</v>
      </c>
      <c r="AJ17" s="12">
        <f t="shared" ref="AJ17:AJ80" si="12">SUM(AC17:AI17)</f>
        <v>100229802.3708927</v>
      </c>
      <c r="AK17" s="12" t="b">
        <f t="shared" ref="AK17:AK80" si="13">OR(
  V17&lt;25%,V17&gt;35%,
  W17&lt;10%,W17&gt;20%,
  X17&lt;2%, X17&gt;7%,
  Y17&lt;15%,Y17&gt;25%,
  Z17&lt;5%, Z17&gt;15%,
  AA17&lt;5%,AA17&gt;15%,
  AB17&lt;5%, AB17&gt;15%
)</f>
        <v>1</v>
      </c>
    </row>
    <row r="18" spans="1:37" x14ac:dyDescent="0.2">
      <c r="A18" s="1">
        <f>Returns!A5</f>
        <v>42521</v>
      </c>
      <c r="B18" s="20">
        <f t="shared" ref="B18:B81" si="14">S17</f>
        <v>100229802.37089272</v>
      </c>
      <c r="C18" s="18">
        <f t="shared" ref="C18:C81" si="15">J18/Q18</f>
        <v>0.30320756281240435</v>
      </c>
      <c r="D18" s="18">
        <f t="shared" si="1"/>
        <v>0.15166948969167598</v>
      </c>
      <c r="E18" s="18">
        <f t="shared" si="1"/>
        <v>4.7862054681258787E-2</v>
      </c>
      <c r="F18" s="18">
        <f t="shared" si="1"/>
        <v>0.19749857494824102</v>
      </c>
      <c r="G18" s="18">
        <f t="shared" si="1"/>
        <v>0.10007115487544503</v>
      </c>
      <c r="H18" s="18">
        <f t="shared" ref="H18:I81" si="16">O18/$Q18</f>
        <v>9.884332306297676E-2</v>
      </c>
      <c r="I18" s="18">
        <f t="shared" si="1"/>
        <v>0.1008478399279982</v>
      </c>
      <c r="J18" s="12">
        <f>J17*(1+Returns!B5)</f>
        <v>30628503.482249018</v>
      </c>
      <c r="K18" s="12">
        <f>K17*(1+Returns!C5)</f>
        <v>15320889.261744969</v>
      </c>
      <c r="L18" s="12">
        <f>L17*(1+Returns!D5)</f>
        <v>4834784.1157890642</v>
      </c>
      <c r="M18" s="12">
        <f>M17*(1+Returns!E5)</f>
        <v>19950313.027924076</v>
      </c>
      <c r="N18" s="12">
        <f>N17*(1+Returns!F5)</f>
        <v>10108684.912558049</v>
      </c>
      <c r="O18" s="12">
        <f>O17*(1+Returns!G5)</f>
        <v>9984655.5163418725</v>
      </c>
      <c r="P18" s="12">
        <f>P17*(1+Returns!H5)</f>
        <v>10187141.731431836</v>
      </c>
      <c r="Q18" s="12">
        <f t="shared" si="2"/>
        <v>101014972.04803887</v>
      </c>
      <c r="R18" s="12">
        <f t="shared" si="3"/>
        <v>357761.35933680437</v>
      </c>
      <c r="S18" s="12">
        <f t="shared" si="4"/>
        <v>100657210.68870206</v>
      </c>
      <c r="T18" s="12"/>
      <c r="U18" t="b">
        <f t="shared" si="5"/>
        <v>0</v>
      </c>
      <c r="V18" s="12">
        <f>IF($U18=TRUE, $Q18*$C$7, $J18)</f>
        <v>30628503.482249018</v>
      </c>
      <c r="W18" s="12">
        <f>IF($U18=TRUE, $Q18*$C$8, $K18)</f>
        <v>15320889.261744969</v>
      </c>
      <c r="X18" s="12">
        <f>IF($U18=TRUE, $Q18*$C$9, $L18)</f>
        <v>4834784.1157890642</v>
      </c>
      <c r="Y18" s="12">
        <f>IF($U18=TRUE, $Q18*$C$10, $M18)</f>
        <v>19950313.027924076</v>
      </c>
      <c r="Z18" s="12">
        <f>IF($U18=TRUE, $Q18*$C$11, $N18)</f>
        <v>10108684.912558049</v>
      </c>
      <c r="AA18" s="12">
        <f>IF($U18=TRUE, $Q18*$C$12, $O18)</f>
        <v>9984655.5163418725</v>
      </c>
      <c r="AB18" s="12">
        <f>IF($U18=TRUE, $Q18*$C$13, $P18)</f>
        <v>10187141.731431836</v>
      </c>
      <c r="AC18" s="12">
        <f>V18-(1-$B$3)</f>
        <v>30628502.485790685</v>
      </c>
      <c r="AD18" s="12">
        <f t="shared" si="6"/>
        <v>15266627.778942956</v>
      </c>
      <c r="AE18" s="12">
        <f t="shared" si="7"/>
        <v>4817660.9220456444</v>
      </c>
      <c r="AF18" s="12">
        <f t="shared" si="8"/>
        <v>19879655.669283513</v>
      </c>
      <c r="AG18" s="12">
        <f t="shared" si="9"/>
        <v>10072883.320159405</v>
      </c>
      <c r="AH18" s="12">
        <f t="shared" si="10"/>
        <v>9949293.1947214957</v>
      </c>
      <c r="AI18" s="12">
        <f t="shared" si="11"/>
        <v>10151062.271133015</v>
      </c>
      <c r="AJ18" s="12">
        <f t="shared" si="12"/>
        <v>100765685.64207672</v>
      </c>
      <c r="AK18" s="12" t="b">
        <f t="shared" si="13"/>
        <v>1</v>
      </c>
    </row>
    <row r="19" spans="1:37" x14ac:dyDescent="0.2">
      <c r="A19" s="1">
        <f>Returns!A6</f>
        <v>42551</v>
      </c>
      <c r="B19" s="20">
        <f t="shared" si="14"/>
        <v>100657210.68870206</v>
      </c>
      <c r="C19" s="18">
        <f t="shared" si="15"/>
        <v>0.29865203492385739</v>
      </c>
      <c r="D19" s="18">
        <f t="shared" si="1"/>
        <v>0.145271484714388</v>
      </c>
      <c r="E19" s="18">
        <f t="shared" si="1"/>
        <v>4.9124947818702608E-2</v>
      </c>
      <c r="F19" s="18">
        <f t="shared" si="1"/>
        <v>0.19981308628583011</v>
      </c>
      <c r="G19" s="18">
        <f t="shared" si="1"/>
        <v>0.10121584796443511</v>
      </c>
      <c r="H19" s="18">
        <f t="shared" si="16"/>
        <v>0.10374940967189085</v>
      </c>
      <c r="I19" s="18">
        <f t="shared" si="1"/>
        <v>0.10217318862089605</v>
      </c>
      <c r="J19" s="12">
        <f>J18*(1+Returns!B6)</f>
        <v>30733820.281977229</v>
      </c>
      <c r="K19" s="12">
        <f>K18*(1+Returns!C6)</f>
        <v>14949664.429530203</v>
      </c>
      <c r="L19" s="12">
        <f>L18*(1+Returns!D6)</f>
        <v>5055372.6111608259</v>
      </c>
      <c r="M19" s="12">
        <f>M18*(1+Returns!E6)</f>
        <v>20562456.523899429</v>
      </c>
      <c r="N19" s="12">
        <f>N18*(1+Returns!F6)</f>
        <v>10415966.801699437</v>
      </c>
      <c r="O19" s="12">
        <f>O18*(1+Returns!G6)</f>
        <v>10676691.729323305</v>
      </c>
      <c r="P19" s="12">
        <f>P18*(1+Returns!H6)</f>
        <v>10514485.252082011</v>
      </c>
      <c r="Q19" s="12">
        <f t="shared" si="2"/>
        <v>102908457.62967242</v>
      </c>
      <c r="R19" s="12">
        <f t="shared" si="3"/>
        <v>364467.45410508988</v>
      </c>
      <c r="S19" s="12">
        <f t="shared" si="4"/>
        <v>102543990.17556733</v>
      </c>
      <c r="T19" s="12"/>
      <c r="U19" t="b">
        <f t="shared" si="5"/>
        <v>0</v>
      </c>
      <c r="V19" s="12">
        <f>IF($U19=TRUE, $Q19*$C$7, $J19)</f>
        <v>30733820.281977229</v>
      </c>
      <c r="W19" s="12">
        <f>IF($U19=TRUE, $Q19*$C$8, $K19)</f>
        <v>14949664.429530203</v>
      </c>
      <c r="X19" s="12">
        <f>IF($U19=TRUE, $Q19*$C$9, $L19)</f>
        <v>5055372.6111608259</v>
      </c>
      <c r="Y19" s="12">
        <f>IF($U19=TRUE, $Q19*$C$10, $M19)</f>
        <v>20562456.523899429</v>
      </c>
      <c r="Z19" s="12">
        <f>IF($U19=TRUE, $Q19*$C$11, $N19)</f>
        <v>10415966.801699437</v>
      </c>
      <c r="AA19" s="12">
        <f>IF($U19=TRUE, $Q19*$C$12, $O19)</f>
        <v>10676691.729323305</v>
      </c>
      <c r="AB19" s="12">
        <f>IF($U19=TRUE, $Q19*$C$13, $P19)</f>
        <v>10514485.252082011</v>
      </c>
      <c r="AC19" s="12">
        <f>V19-(1-$B$3)</f>
        <v>30733819.285518896</v>
      </c>
      <c r="AD19" s="12">
        <f t="shared" si="6"/>
        <v>14896717.701342285</v>
      </c>
      <c r="AE19" s="12">
        <f t="shared" si="7"/>
        <v>5037468.1664962983</v>
      </c>
      <c r="AF19" s="12">
        <f t="shared" si="8"/>
        <v>20489631.157043952</v>
      </c>
      <c r="AG19" s="12">
        <f t="shared" si="9"/>
        <v>10379076.919276752</v>
      </c>
      <c r="AH19" s="12">
        <f t="shared" si="10"/>
        <v>10638878.446115285</v>
      </c>
      <c r="AI19" s="12">
        <f t="shared" si="11"/>
        <v>10477246.450147554</v>
      </c>
      <c r="AJ19" s="12">
        <f t="shared" si="12"/>
        <v>102652838.12594102</v>
      </c>
      <c r="AK19" s="12" t="b">
        <f t="shared" si="13"/>
        <v>1</v>
      </c>
    </row>
    <row r="20" spans="1:37" x14ac:dyDescent="0.2">
      <c r="A20" s="1">
        <f>Returns!A7</f>
        <v>42582</v>
      </c>
      <c r="B20" s="20">
        <f t="shared" si="14"/>
        <v>102543990.17556733</v>
      </c>
      <c r="C20" s="18">
        <f t="shared" si="15"/>
        <v>0.30106088533081427</v>
      </c>
      <c r="D20" s="18">
        <f t="shared" si="1"/>
        <v>0.14687112443633901</v>
      </c>
      <c r="E20" s="18">
        <f t="shared" si="1"/>
        <v>5.0340944800755717E-2</v>
      </c>
      <c r="F20" s="18">
        <f t="shared" si="1"/>
        <v>0.19483248035551978</v>
      </c>
      <c r="G20" s="18">
        <f t="shared" si="1"/>
        <v>9.9733933695648813E-2</v>
      </c>
      <c r="H20" s="18">
        <f t="shared" si="16"/>
        <v>0.10519238183868776</v>
      </c>
      <c r="I20" s="18">
        <f t="shared" si="1"/>
        <v>0.10196824954223478</v>
      </c>
      <c r="J20" s="12">
        <f>J19*(1+Returns!B7)</f>
        <v>31856633.259724803</v>
      </c>
      <c r="K20" s="12">
        <f>K19*(1+Returns!C7)</f>
        <v>15541107.382550335</v>
      </c>
      <c r="L20" s="12">
        <f>L19*(1+Returns!D7)</f>
        <v>5326806.2860558638</v>
      </c>
      <c r="M20" s="12">
        <f>M19*(1+Returns!E7)</f>
        <v>20616118.453741424</v>
      </c>
      <c r="N20" s="12">
        <f>N19*(1+Returns!F7)</f>
        <v>10553305.009386424</v>
      </c>
      <c r="O20" s="12">
        <f>O19*(1+Returns!G7)</f>
        <v>11130888.445603803</v>
      </c>
      <c r="P20" s="12">
        <f>P19*(1+Returns!H7)</f>
        <v>10789728.218043599</v>
      </c>
      <c r="Q20" s="12">
        <f t="shared" si="2"/>
        <v>105814587.05510624</v>
      </c>
      <c r="R20" s="12">
        <f t="shared" si="3"/>
        <v>374759.99582016794</v>
      </c>
      <c r="S20" s="12">
        <f t="shared" si="4"/>
        <v>105439827.05928607</v>
      </c>
      <c r="T20" s="12"/>
      <c r="U20" t="b">
        <f t="shared" si="5"/>
        <v>0</v>
      </c>
      <c r="V20" s="12">
        <f>IF($U20=TRUE, $Q20*$C$7, $J20)</f>
        <v>31856633.259724803</v>
      </c>
      <c r="W20" s="12">
        <f>IF($U20=TRUE, $Q20*$C$8, $K20)</f>
        <v>15541107.382550335</v>
      </c>
      <c r="X20" s="12">
        <f>IF($U20=TRUE, $Q20*$C$9, $L20)</f>
        <v>5326806.2860558638</v>
      </c>
      <c r="Y20" s="12">
        <f>IF($U20=TRUE, $Q20*$C$10, $M20)</f>
        <v>20616118.453741424</v>
      </c>
      <c r="Z20" s="12">
        <f>IF($U20=TRUE, $Q20*$C$11, $N20)</f>
        <v>10553305.009386424</v>
      </c>
      <c r="AA20" s="12">
        <f>IF($U20=TRUE, $Q20*$C$12, $O20)</f>
        <v>11130888.445603803</v>
      </c>
      <c r="AB20" s="12">
        <f>IF($U20=TRUE, $Q20*$C$13, $P20)</f>
        <v>10789728.218043599</v>
      </c>
      <c r="AC20" s="12">
        <f>V20-(1-$B$3)</f>
        <v>31856632.26326647</v>
      </c>
      <c r="AD20" s="12">
        <f t="shared" si="6"/>
        <v>15486065.960570469</v>
      </c>
      <c r="AE20" s="12">
        <f t="shared" si="7"/>
        <v>5307940.5137927495</v>
      </c>
      <c r="AF20" s="12">
        <f t="shared" si="8"/>
        <v>20543103.034217756</v>
      </c>
      <c r="AG20" s="12">
        <f t="shared" si="9"/>
        <v>10515928.720811514</v>
      </c>
      <c r="AH20" s="12">
        <f t="shared" si="10"/>
        <v>11091466.549025623</v>
      </c>
      <c r="AI20" s="12">
        <f t="shared" si="11"/>
        <v>10751514.597271362</v>
      </c>
      <c r="AJ20" s="12">
        <f t="shared" si="12"/>
        <v>105552651.63895597</v>
      </c>
      <c r="AK20" s="12" t="b">
        <f t="shared" si="13"/>
        <v>1</v>
      </c>
    </row>
    <row r="21" spans="1:37" x14ac:dyDescent="0.2">
      <c r="A21" s="1">
        <f>Returns!A8</f>
        <v>42613</v>
      </c>
      <c r="B21" s="20">
        <f t="shared" si="14"/>
        <v>105439827.05928607</v>
      </c>
      <c r="C21" s="18">
        <f t="shared" si="15"/>
        <v>0.30322479073136033</v>
      </c>
      <c r="D21" s="18">
        <f t="shared" si="1"/>
        <v>0.14852318780946019</v>
      </c>
      <c r="E21" s="18">
        <f t="shared" si="1"/>
        <v>5.1095124047144121E-2</v>
      </c>
      <c r="F21" s="18">
        <f t="shared" si="1"/>
        <v>0.19404636028124034</v>
      </c>
      <c r="G21" s="18">
        <f t="shared" si="1"/>
        <v>0.10047802859012461</v>
      </c>
      <c r="H21" s="18">
        <f t="shared" si="16"/>
        <v>0.10183626242611196</v>
      </c>
      <c r="I21" s="18">
        <f t="shared" si="1"/>
        <v>0.10079624611455837</v>
      </c>
      <c r="J21" s="12">
        <f>J20*(1+Returns!B8)</f>
        <v>31895702.39510785</v>
      </c>
      <c r="K21" s="12">
        <f>K20*(1+Returns!C8)</f>
        <v>15622902.684563758</v>
      </c>
      <c r="L21" s="12">
        <f>L20*(1+Returns!D8)</f>
        <v>5374609.5974476598</v>
      </c>
      <c r="M21" s="12">
        <f>M20*(1+Returns!E8)</f>
        <v>20411408.128788628</v>
      </c>
      <c r="N21" s="12">
        <f>N20*(1+Returns!F8)</f>
        <v>10569113.723940322</v>
      </c>
      <c r="O21" s="12">
        <f>O20*(1+Returns!G8)</f>
        <v>10711984.041736992</v>
      </c>
      <c r="P21" s="12">
        <f>P20*(1+Returns!H8)</f>
        <v>10602586.486611759</v>
      </c>
      <c r="Q21" s="12">
        <f t="shared" si="2"/>
        <v>105188307.05819698</v>
      </c>
      <c r="R21" s="12">
        <f t="shared" si="3"/>
        <v>372541.92083111434</v>
      </c>
      <c r="S21" s="12">
        <f t="shared" si="4"/>
        <v>104815765.13736586</v>
      </c>
      <c r="T21" s="12"/>
      <c r="U21" t="b">
        <f t="shared" si="5"/>
        <v>0</v>
      </c>
      <c r="V21" s="12">
        <f>IF($U21=TRUE, $Q21*$C$7, $J21)</f>
        <v>31895702.39510785</v>
      </c>
      <c r="W21" s="12">
        <f>IF($U21=TRUE, $Q21*$C$8, $K21)</f>
        <v>15622902.684563758</v>
      </c>
      <c r="X21" s="12">
        <f>IF($U21=TRUE, $Q21*$C$9, $L21)</f>
        <v>5374609.5974476598</v>
      </c>
      <c r="Y21" s="12">
        <f>IF($U21=TRUE, $Q21*$C$10, $M21)</f>
        <v>20411408.128788628</v>
      </c>
      <c r="Z21" s="12">
        <f>IF($U21=TRUE, $Q21*$C$11, $N21)</f>
        <v>10569113.723940322</v>
      </c>
      <c r="AA21" s="12">
        <f>IF($U21=TRUE, $Q21*$C$12, $O21)</f>
        <v>10711984.041736992</v>
      </c>
      <c r="AB21" s="12">
        <f>IF($U21=TRUE, $Q21*$C$13, $P21)</f>
        <v>10602586.486611759</v>
      </c>
      <c r="AC21" s="12">
        <f>V21-(1-$B$3)</f>
        <v>31895701.398649517</v>
      </c>
      <c r="AD21" s="12">
        <f t="shared" si="6"/>
        <v>15567571.570889261</v>
      </c>
      <c r="AE21" s="12">
        <f t="shared" si="7"/>
        <v>5355574.5217900323</v>
      </c>
      <c r="AF21" s="12">
        <f t="shared" si="8"/>
        <v>20339117.724999167</v>
      </c>
      <c r="AG21" s="12">
        <f t="shared" si="9"/>
        <v>10531681.446168033</v>
      </c>
      <c r="AH21" s="12">
        <f t="shared" si="10"/>
        <v>10674045.764922507</v>
      </c>
      <c r="AI21" s="12">
        <f t="shared" si="11"/>
        <v>10565035.659471676</v>
      </c>
      <c r="AJ21" s="12">
        <f t="shared" si="12"/>
        <v>104928728.08689021</v>
      </c>
      <c r="AK21" s="12" t="b">
        <f t="shared" si="13"/>
        <v>1</v>
      </c>
    </row>
    <row r="22" spans="1:37" x14ac:dyDescent="0.2">
      <c r="A22" s="1">
        <f>Returns!A9</f>
        <v>42643</v>
      </c>
      <c r="B22" s="20">
        <f t="shared" si="14"/>
        <v>104815765.13736586</v>
      </c>
      <c r="C22" s="18">
        <f t="shared" si="15"/>
        <v>0.30217933069038067</v>
      </c>
      <c r="D22" s="18">
        <f t="shared" si="1"/>
        <v>0.1500298515516105</v>
      </c>
      <c r="E22" s="18">
        <f t="shared" si="1"/>
        <v>5.2196092929206295E-2</v>
      </c>
      <c r="F22" s="18">
        <f t="shared" si="1"/>
        <v>0.19380007989962073</v>
      </c>
      <c r="G22" s="18">
        <f t="shared" si="1"/>
        <v>9.9864181376753069E-2</v>
      </c>
      <c r="H22" s="18">
        <f t="shared" si="16"/>
        <v>9.9619066285089375E-2</v>
      </c>
      <c r="I22" s="18">
        <f t="shared" si="1"/>
        <v>0.10231139726733933</v>
      </c>
      <c r="J22" s="12">
        <f>J21*(1+Returns!B9)</f>
        <v>31897401.053167984</v>
      </c>
      <c r="K22" s="12">
        <f>K21*(1+Returns!C9)</f>
        <v>15836828.859060403</v>
      </c>
      <c r="L22" s="12">
        <f>L21*(1+Returns!D9)</f>
        <v>5509707.4501009826</v>
      </c>
      <c r="M22" s="12">
        <f>M21*(1+Returns!E9)</f>
        <v>20457120.143098477</v>
      </c>
      <c r="N22" s="12">
        <f>N21*(1+Returns!F9)</f>
        <v>10541448.473471001</v>
      </c>
      <c r="O22" s="12">
        <f>O21*(1+Returns!G9)</f>
        <v>10515574.650912993</v>
      </c>
      <c r="P22" s="12">
        <f>P21*(1+Returns!H9)</f>
        <v>10799771.326153792</v>
      </c>
      <c r="Q22" s="12">
        <f t="shared" si="2"/>
        <v>105557851.95596564</v>
      </c>
      <c r="R22" s="12">
        <f t="shared" si="3"/>
        <v>373850.7256773783</v>
      </c>
      <c r="S22" s="12">
        <f t="shared" si="4"/>
        <v>105184001.23028827</v>
      </c>
      <c r="T22" s="12"/>
      <c r="U22" t="b">
        <f t="shared" si="5"/>
        <v>0</v>
      </c>
      <c r="V22" s="12">
        <f>IF($U22=TRUE, $Q22*$C$7, $J22)</f>
        <v>31897401.053167984</v>
      </c>
      <c r="W22" s="12">
        <f>IF($U22=TRUE, $Q22*$C$8, $K22)</f>
        <v>15836828.859060403</v>
      </c>
      <c r="X22" s="12">
        <f>IF($U22=TRUE, $Q22*$C$9, $L22)</f>
        <v>5509707.4501009826</v>
      </c>
      <c r="Y22" s="12">
        <f>IF($U22=TRUE, $Q22*$C$10, $M22)</f>
        <v>20457120.143098477</v>
      </c>
      <c r="Z22" s="12">
        <f>IF($U22=TRUE, $Q22*$C$11, $N22)</f>
        <v>10541448.473471001</v>
      </c>
      <c r="AA22" s="12">
        <f>IF($U22=TRUE, $Q22*$C$12, $O22)</f>
        <v>10515574.650912993</v>
      </c>
      <c r="AB22" s="12">
        <f>IF($U22=TRUE, $Q22*$C$13, $P22)</f>
        <v>10799771.326153792</v>
      </c>
      <c r="AC22" s="12">
        <f>V22-(1-$B$3)</f>
        <v>31897400.056709651</v>
      </c>
      <c r="AD22" s="12">
        <f t="shared" si="6"/>
        <v>15780740.090184564</v>
      </c>
      <c r="AE22" s="12">
        <f t="shared" si="7"/>
        <v>5490193.9028818747</v>
      </c>
      <c r="AF22" s="12">
        <f t="shared" si="8"/>
        <v>20384667.842591669</v>
      </c>
      <c r="AG22" s="12">
        <f t="shared" si="9"/>
        <v>10504114.176794125</v>
      </c>
      <c r="AH22" s="12">
        <f t="shared" si="10"/>
        <v>10478331.99069101</v>
      </c>
      <c r="AI22" s="12">
        <f t="shared" si="11"/>
        <v>10761522.136040332</v>
      </c>
      <c r="AJ22" s="12">
        <f t="shared" si="12"/>
        <v>105296970.19589323</v>
      </c>
      <c r="AK22" s="12" t="b">
        <f t="shared" si="13"/>
        <v>1</v>
      </c>
    </row>
    <row r="23" spans="1:37" x14ac:dyDescent="0.2">
      <c r="A23" s="1">
        <f>Returns!A10</f>
        <v>42674</v>
      </c>
      <c r="B23" s="20">
        <f t="shared" si="14"/>
        <v>105184001.23028827</v>
      </c>
      <c r="C23" s="18">
        <f t="shared" si="15"/>
        <v>0.3037608331058323</v>
      </c>
      <c r="D23" s="18">
        <f t="shared" si="1"/>
        <v>0.15007298604110988</v>
      </c>
      <c r="E23" s="18">
        <f t="shared" si="1"/>
        <v>5.2957971294487274E-2</v>
      </c>
      <c r="F23" s="18">
        <f t="shared" si="1"/>
        <v>0.19528132451556524</v>
      </c>
      <c r="G23" s="18">
        <f t="shared" si="1"/>
        <v>0.10055719162831847</v>
      </c>
      <c r="H23" s="18">
        <f t="shared" si="16"/>
        <v>9.607064339002884E-2</v>
      </c>
      <c r="I23" s="18">
        <f t="shared" si="1"/>
        <v>0.10129905002465794</v>
      </c>
      <c r="J23" s="12">
        <f>J22*(1+Returns!B10)</f>
        <v>31341939.867504656</v>
      </c>
      <c r="K23" s="12">
        <f>K22*(1+Returns!C10)</f>
        <v>15484479.865771811</v>
      </c>
      <c r="L23" s="12">
        <f>L22*(1+Returns!D10)</f>
        <v>5464185.5398077955</v>
      </c>
      <c r="M23" s="12">
        <f>M22*(1+Returns!E10)</f>
        <v>20149060.916227758</v>
      </c>
      <c r="N23" s="12">
        <f>N22*(1+Returns!F10)</f>
        <v>10375456.970655074</v>
      </c>
      <c r="O23" s="12">
        <f>O22*(1+Returns!G10)</f>
        <v>9912536.4431486838</v>
      </c>
      <c r="P23" s="12">
        <f>P22*(1+Returns!H10)</f>
        <v>10452001.668701034</v>
      </c>
      <c r="Q23" s="12">
        <f t="shared" si="2"/>
        <v>103179661.27181682</v>
      </c>
      <c r="R23" s="12">
        <f t="shared" si="3"/>
        <v>365427.96700435126</v>
      </c>
      <c r="S23" s="12">
        <f t="shared" si="4"/>
        <v>102814233.30481248</v>
      </c>
      <c r="T23" s="12"/>
      <c r="U23" t="b">
        <f t="shared" si="5"/>
        <v>0</v>
      </c>
      <c r="V23" s="12">
        <f>IF($U23=TRUE, $Q23*$C$7, $J23)</f>
        <v>31341939.867504656</v>
      </c>
      <c r="W23" s="12">
        <f>IF($U23=TRUE, $Q23*$C$8, $K23)</f>
        <v>15484479.865771811</v>
      </c>
      <c r="X23" s="12">
        <f>IF($U23=TRUE, $Q23*$C$9, $L23)</f>
        <v>5464185.5398077955</v>
      </c>
      <c r="Y23" s="12">
        <f>IF($U23=TRUE, $Q23*$C$10, $M23)</f>
        <v>20149060.916227758</v>
      </c>
      <c r="Z23" s="12">
        <f>IF($U23=TRUE, $Q23*$C$11, $N23)</f>
        <v>10375456.970655074</v>
      </c>
      <c r="AA23" s="12">
        <f>IF($U23=TRUE, $Q23*$C$12, $O23)</f>
        <v>9912536.4431486838</v>
      </c>
      <c r="AB23" s="12">
        <f>IF($U23=TRUE, $Q23*$C$13, $P23)</f>
        <v>10452001.668701034</v>
      </c>
      <c r="AC23" s="12">
        <f>V23-(1-$B$3)</f>
        <v>31341938.871046323</v>
      </c>
      <c r="AD23" s="12">
        <f t="shared" si="6"/>
        <v>15429638.999580536</v>
      </c>
      <c r="AE23" s="12">
        <f t="shared" si="7"/>
        <v>5444833.2160209762</v>
      </c>
      <c r="AF23" s="12">
        <f t="shared" si="8"/>
        <v>20077699.658816118</v>
      </c>
      <c r="AG23" s="12">
        <f t="shared" si="9"/>
        <v>10338710.560550671</v>
      </c>
      <c r="AH23" s="12">
        <f t="shared" si="10"/>
        <v>9877429.543245865</v>
      </c>
      <c r="AI23" s="12">
        <f t="shared" si="11"/>
        <v>10414984.162791051</v>
      </c>
      <c r="AJ23" s="12">
        <f t="shared" si="12"/>
        <v>102925235.01205155</v>
      </c>
      <c r="AK23" s="12" t="b">
        <f t="shared" si="13"/>
        <v>1</v>
      </c>
    </row>
    <row r="24" spans="1:37" x14ac:dyDescent="0.2">
      <c r="A24" s="1">
        <f>Returns!A11</f>
        <v>42704</v>
      </c>
      <c r="B24" s="20">
        <f t="shared" si="14"/>
        <v>102814233.30481248</v>
      </c>
      <c r="C24" s="18">
        <f t="shared" si="15"/>
        <v>0.31845845407533147</v>
      </c>
      <c r="D24" s="18">
        <f t="shared" si="1"/>
        <v>0.14905983542025109</v>
      </c>
      <c r="E24" s="18">
        <f t="shared" si="1"/>
        <v>5.1180396747271685E-2</v>
      </c>
      <c r="F24" s="18">
        <f t="shared" si="1"/>
        <v>0.18905871390986673</v>
      </c>
      <c r="G24" s="18">
        <f t="shared" si="1"/>
        <v>9.8480302988524754E-2</v>
      </c>
      <c r="H24" s="18">
        <f t="shared" si="16"/>
        <v>9.5515073686419885E-2</v>
      </c>
      <c r="I24" s="18">
        <f t="shared" si="1"/>
        <v>9.824722317233435E-2</v>
      </c>
      <c r="J24" s="12">
        <f>J23*(1+Returns!B11)</f>
        <v>32497027.348394759</v>
      </c>
      <c r="K24" s="12">
        <f>K23*(1+Returns!C11)</f>
        <v>15210780.201342281</v>
      </c>
      <c r="L24" s="12">
        <f>L23*(1+Returns!D11)</f>
        <v>5222693.0436720299</v>
      </c>
      <c r="M24" s="12">
        <f>M23*(1+Returns!E11)</f>
        <v>19292457.517638866</v>
      </c>
      <c r="N24" s="12">
        <f>N23*(1+Returns!F11)</f>
        <v>10049402.232980931</v>
      </c>
      <c r="O24" s="12">
        <f>O23*(1+Returns!G11)</f>
        <v>9746816.0196409356</v>
      </c>
      <c r="P24" s="12">
        <f>P23*(1+Returns!H11)</f>
        <v>10025617.65114877</v>
      </c>
      <c r="Q24" s="12">
        <f t="shared" si="2"/>
        <v>102044794.01481858</v>
      </c>
      <c r="R24" s="12">
        <f t="shared" si="3"/>
        <v>361408.64546914917</v>
      </c>
      <c r="S24" s="12">
        <f t="shared" si="4"/>
        <v>101683385.36934943</v>
      </c>
      <c r="T24" s="12"/>
      <c r="U24" t="b">
        <f t="shared" si="5"/>
        <v>0</v>
      </c>
      <c r="V24" s="12">
        <f>IF($U24=TRUE, $Q24*$C$7, $J24)</f>
        <v>32497027.348394759</v>
      </c>
      <c r="W24" s="12">
        <f>IF($U24=TRUE, $Q24*$C$8, $K24)</f>
        <v>15210780.201342281</v>
      </c>
      <c r="X24" s="12">
        <f>IF($U24=TRUE, $Q24*$C$9, $L24)</f>
        <v>5222693.0436720299</v>
      </c>
      <c r="Y24" s="12">
        <f>IF($U24=TRUE, $Q24*$C$10, $M24)</f>
        <v>19292457.517638866</v>
      </c>
      <c r="Z24" s="12">
        <f>IF($U24=TRUE, $Q24*$C$11, $N24)</f>
        <v>10049402.232980931</v>
      </c>
      <c r="AA24" s="12">
        <f>IF($U24=TRUE, $Q24*$C$12, $O24)</f>
        <v>9746816.0196409356</v>
      </c>
      <c r="AB24" s="12">
        <f>IF($U24=TRUE, $Q24*$C$13, $P24)</f>
        <v>10025617.65114877</v>
      </c>
      <c r="AC24" s="12">
        <f>V24-(1-$B$3)</f>
        <v>32497026.351936426</v>
      </c>
      <c r="AD24" s="12">
        <f t="shared" si="6"/>
        <v>15156908.688129194</v>
      </c>
      <c r="AE24" s="12">
        <f t="shared" si="7"/>
        <v>5204196.0058090249</v>
      </c>
      <c r="AF24" s="12">
        <f t="shared" si="8"/>
        <v>19224130.06393056</v>
      </c>
      <c r="AG24" s="12">
        <f t="shared" si="9"/>
        <v>10013810.600072457</v>
      </c>
      <c r="AH24" s="12">
        <f t="shared" si="10"/>
        <v>9712296.0462380406</v>
      </c>
      <c r="AI24" s="12">
        <f t="shared" si="11"/>
        <v>9990110.2553009521</v>
      </c>
      <c r="AJ24" s="12">
        <f t="shared" si="12"/>
        <v>101798478.01141664</v>
      </c>
      <c r="AK24" s="12" t="b">
        <f t="shared" si="13"/>
        <v>1</v>
      </c>
    </row>
    <row r="25" spans="1:37" x14ac:dyDescent="0.2">
      <c r="A25" s="1">
        <f>Returns!A12</f>
        <v>42735</v>
      </c>
      <c r="B25" s="20">
        <f t="shared" si="14"/>
        <v>101683385.36934943</v>
      </c>
      <c r="C25" s="18">
        <f t="shared" si="15"/>
        <v>0.31912616588215453</v>
      </c>
      <c r="D25" s="18">
        <f t="shared" si="1"/>
        <v>0.15035492325093594</v>
      </c>
      <c r="E25" s="18">
        <f t="shared" si="1"/>
        <v>5.0149935192365908E-2</v>
      </c>
      <c r="F25" s="18">
        <f t="shared" si="1"/>
        <v>0.18549769521608339</v>
      </c>
      <c r="G25" s="18">
        <f t="shared" si="1"/>
        <v>9.7552930189728312E-2</v>
      </c>
      <c r="H25" s="18">
        <f t="shared" si="16"/>
        <v>9.8327324949043532E-2</v>
      </c>
      <c r="I25" s="18">
        <f t="shared" si="1"/>
        <v>9.8991025319688453E-2</v>
      </c>
      <c r="J25" s="12">
        <f>J24*(1+Returns!B12)</f>
        <v>33152709.359605905</v>
      </c>
      <c r="K25" s="12">
        <f>K24*(1+Returns!C12)</f>
        <v>15619756.711409396</v>
      </c>
      <c r="L25" s="12">
        <f>L24*(1+Returns!D12)</f>
        <v>5209871.2157922471</v>
      </c>
      <c r="M25" s="12">
        <f>M24*(1+Returns!E12)</f>
        <v>19270595.249925461</v>
      </c>
      <c r="N25" s="12">
        <f>N24*(1+Returns!F12)</f>
        <v>10134374.073708132</v>
      </c>
      <c r="O25" s="12">
        <f>O24*(1+Returns!G12)</f>
        <v>10214822.771213744</v>
      </c>
      <c r="P25" s="12">
        <f>P24*(1+Returns!H12)</f>
        <v>10283771.88238747</v>
      </c>
      <c r="Q25" s="12">
        <f t="shared" si="2"/>
        <v>103885901.26404235</v>
      </c>
      <c r="R25" s="12">
        <f t="shared" si="3"/>
        <v>367929.23364348331</v>
      </c>
      <c r="S25" s="12">
        <f t="shared" si="4"/>
        <v>103517972.03039886</v>
      </c>
      <c r="T25" s="12"/>
      <c r="U25" t="b">
        <f t="shared" si="5"/>
        <v>0</v>
      </c>
      <c r="V25" s="12">
        <f>IF($U25=TRUE, $Q25*$C$7, $J25)</f>
        <v>33152709.359605905</v>
      </c>
      <c r="W25" s="12">
        <f>IF($U25=TRUE, $Q25*$C$8, $K25)</f>
        <v>15619756.711409396</v>
      </c>
      <c r="X25" s="12">
        <f>IF($U25=TRUE, $Q25*$C$9, $L25)</f>
        <v>5209871.2157922471</v>
      </c>
      <c r="Y25" s="12">
        <f>IF($U25=TRUE, $Q25*$C$10, $M25)</f>
        <v>19270595.249925461</v>
      </c>
      <c r="Z25" s="12">
        <f>IF($U25=TRUE, $Q25*$C$11, $N25)</f>
        <v>10134374.073708132</v>
      </c>
      <c r="AA25" s="12">
        <f>IF($U25=TRUE, $Q25*$C$12, $O25)</f>
        <v>10214822.771213744</v>
      </c>
      <c r="AB25" s="12">
        <f>IF($U25=TRUE, $Q25*$C$13, $P25)</f>
        <v>10283771.88238747</v>
      </c>
      <c r="AC25" s="12">
        <f>V25-(1-$B$3)</f>
        <v>33152708.363147572</v>
      </c>
      <c r="AD25" s="12">
        <f t="shared" si="6"/>
        <v>15564436.739723153</v>
      </c>
      <c r="AE25" s="12">
        <f t="shared" si="7"/>
        <v>5191419.5885696495</v>
      </c>
      <c r="AF25" s="12">
        <f t="shared" si="8"/>
        <v>19202345.225081977</v>
      </c>
      <c r="AG25" s="12">
        <f t="shared" si="9"/>
        <v>10098481.498863749</v>
      </c>
      <c r="AH25" s="12">
        <f t="shared" si="10"/>
        <v>10178645.273899028</v>
      </c>
      <c r="AI25" s="12">
        <f t="shared" si="11"/>
        <v>10247350.190304015</v>
      </c>
      <c r="AJ25" s="12">
        <f t="shared" si="12"/>
        <v>103635386.87958916</v>
      </c>
      <c r="AK25" s="12" t="b">
        <f t="shared" si="13"/>
        <v>1</v>
      </c>
    </row>
    <row r="26" spans="1:37" x14ac:dyDescent="0.2">
      <c r="A26" s="1">
        <f>Returns!A13</f>
        <v>42766</v>
      </c>
      <c r="B26" s="20">
        <f t="shared" si="14"/>
        <v>103517972.03039886</v>
      </c>
      <c r="C26" s="18">
        <f t="shared" si="15"/>
        <v>0.31970494254048404</v>
      </c>
      <c r="D26" s="18">
        <f t="shared" si="1"/>
        <v>0.15285404860615195</v>
      </c>
      <c r="E26" s="18">
        <f t="shared" si="1"/>
        <v>5.2636955828776227E-2</v>
      </c>
      <c r="F26" s="18">
        <f t="shared" si="1"/>
        <v>0.18296526649851844</v>
      </c>
      <c r="G26" s="18">
        <f t="shared" si="1"/>
        <v>9.6134337827535998E-2</v>
      </c>
      <c r="H26" s="18">
        <f t="shared" si="16"/>
        <v>9.6590963712579012E-2</v>
      </c>
      <c r="I26" s="18">
        <f t="shared" si="1"/>
        <v>9.9113484985954403E-2</v>
      </c>
      <c r="J26" s="12">
        <f>J25*(1+Returns!B13)</f>
        <v>33748938.338712417</v>
      </c>
      <c r="K26" s="12">
        <f>K25*(1+Returns!C13)</f>
        <v>16135696.308724832</v>
      </c>
      <c r="L26" s="12">
        <f>L25*(1+Returns!D13)</f>
        <v>5556502.7005422302</v>
      </c>
      <c r="M26" s="12">
        <f>M25*(1+Returns!E13)</f>
        <v>19314319.785352275</v>
      </c>
      <c r="N26" s="12">
        <f>N25*(1+Returns!F13)</f>
        <v>10148206.698942794</v>
      </c>
      <c r="O26" s="12">
        <f>O25*(1+Returns!G13)</f>
        <v>10196409.390823996</v>
      </c>
      <c r="P26" s="12">
        <f>P25*(1+Returns!H13)</f>
        <v>10462693.716104504</v>
      </c>
      <c r="Q26" s="12">
        <f t="shared" si="2"/>
        <v>105562766.93920304</v>
      </c>
      <c r="R26" s="12">
        <f t="shared" si="3"/>
        <v>373868.13290967746</v>
      </c>
      <c r="S26" s="12">
        <f t="shared" si="4"/>
        <v>105188898.80629337</v>
      </c>
      <c r="T26" s="12"/>
      <c r="U26" t="b">
        <f t="shared" si="5"/>
        <v>0</v>
      </c>
      <c r="V26" s="12">
        <f>IF($U26=TRUE, $Q26*$C$7, $J26)</f>
        <v>33748938.338712417</v>
      </c>
      <c r="W26" s="12">
        <f>IF($U26=TRUE, $Q26*$C$8, $K26)</f>
        <v>16135696.308724832</v>
      </c>
      <c r="X26" s="12">
        <f>IF($U26=TRUE, $Q26*$C$9, $L26)</f>
        <v>5556502.7005422302</v>
      </c>
      <c r="Y26" s="12">
        <f>IF($U26=TRUE, $Q26*$C$10, $M26)</f>
        <v>19314319.785352275</v>
      </c>
      <c r="Z26" s="12">
        <f>IF($U26=TRUE, $Q26*$C$11, $N26)</f>
        <v>10148206.698942794</v>
      </c>
      <c r="AA26" s="12">
        <f>IF($U26=TRUE, $Q26*$C$12, $O26)</f>
        <v>10196409.390823996</v>
      </c>
      <c r="AB26" s="12">
        <f>IF($U26=TRUE, $Q26*$C$13, $P26)</f>
        <v>10462693.716104504</v>
      </c>
      <c r="AC26" s="12">
        <f>V26-(1-$B$3)</f>
        <v>33748937.34225408</v>
      </c>
      <c r="AD26" s="12">
        <f t="shared" si="6"/>
        <v>16078549.050964765</v>
      </c>
      <c r="AE26" s="12">
        <f t="shared" si="7"/>
        <v>5536823.420144476</v>
      </c>
      <c r="AF26" s="12">
        <f t="shared" si="8"/>
        <v>19245914.902779151</v>
      </c>
      <c r="AG26" s="12">
        <f t="shared" si="9"/>
        <v>10112265.133550705</v>
      </c>
      <c r="AH26" s="12">
        <f t="shared" si="10"/>
        <v>10160297.107564827</v>
      </c>
      <c r="AI26" s="12">
        <f t="shared" si="11"/>
        <v>10425638.342526633</v>
      </c>
      <c r="AJ26" s="12">
        <f t="shared" si="12"/>
        <v>105308425.29978463</v>
      </c>
      <c r="AK26" s="12" t="b">
        <f t="shared" si="13"/>
        <v>1</v>
      </c>
    </row>
    <row r="27" spans="1:37" x14ac:dyDescent="0.2">
      <c r="A27" s="1">
        <f>Returns!A14</f>
        <v>42794</v>
      </c>
      <c r="B27" s="20">
        <f t="shared" si="14"/>
        <v>105188898.80629337</v>
      </c>
      <c r="C27" s="18">
        <f t="shared" si="15"/>
        <v>0.32447694065396482</v>
      </c>
      <c r="D27" s="18">
        <f t="shared" si="1"/>
        <v>0.15103590025989139</v>
      </c>
      <c r="E27" s="18">
        <f t="shared" si="1"/>
        <v>5.229392701689612E-2</v>
      </c>
      <c r="F27" s="18">
        <f t="shared" si="1"/>
        <v>0.18004293990114589</v>
      </c>
      <c r="G27" s="18">
        <f t="shared" si="1"/>
        <v>9.508083608865299E-2</v>
      </c>
      <c r="H27" s="18">
        <f t="shared" si="16"/>
        <v>9.7627522623486007E-2</v>
      </c>
      <c r="I27" s="18">
        <f t="shared" si="1"/>
        <v>9.9441933455962653E-2</v>
      </c>
      <c r="J27" s="12">
        <f>J26*(1+Returns!B14)</f>
        <v>35077288.941736028</v>
      </c>
      <c r="K27" s="12">
        <f>K26*(1+Returns!C14)</f>
        <v>16327600.671140937</v>
      </c>
      <c r="L27" s="12">
        <f>L26*(1+Returns!D14)</f>
        <v>5653188.1253957069</v>
      </c>
      <c r="M27" s="12">
        <f>M26*(1+Returns!E14)</f>
        <v>19463380.701580036</v>
      </c>
      <c r="N27" s="12">
        <f>N26*(1+Returns!F14)</f>
        <v>10278628.59401245</v>
      </c>
      <c r="O27" s="12">
        <f>O26*(1+Returns!G14)</f>
        <v>10553935.860058306</v>
      </c>
      <c r="P27" s="12">
        <f>P26*(1+Returns!H14)</f>
        <v>10750081.117411654</v>
      </c>
      <c r="Q27" s="12">
        <f t="shared" si="2"/>
        <v>108104104.01133513</v>
      </c>
      <c r="R27" s="12">
        <f t="shared" si="3"/>
        <v>382868.70170681196</v>
      </c>
      <c r="S27" s="12">
        <f t="shared" si="4"/>
        <v>107721235.30962832</v>
      </c>
      <c r="T27" s="12"/>
      <c r="U27" t="b">
        <f t="shared" si="5"/>
        <v>0</v>
      </c>
      <c r="V27" s="12">
        <f>IF($U27=TRUE, $Q27*$C$7, $J27)</f>
        <v>35077288.941736028</v>
      </c>
      <c r="W27" s="12">
        <f>IF($U27=TRUE, $Q27*$C$8, $K27)</f>
        <v>16327600.671140937</v>
      </c>
      <c r="X27" s="12">
        <f>IF($U27=TRUE, $Q27*$C$9, $L27)</f>
        <v>5653188.1253957069</v>
      </c>
      <c r="Y27" s="12">
        <f>IF($U27=TRUE, $Q27*$C$10, $M27)</f>
        <v>19463380.701580036</v>
      </c>
      <c r="Z27" s="12">
        <f>IF($U27=TRUE, $Q27*$C$11, $N27)</f>
        <v>10278628.59401245</v>
      </c>
      <c r="AA27" s="12">
        <f>IF($U27=TRUE, $Q27*$C$12, $O27)</f>
        <v>10553935.860058306</v>
      </c>
      <c r="AB27" s="12">
        <f>IF($U27=TRUE, $Q27*$C$13, $P27)</f>
        <v>10750081.117411654</v>
      </c>
      <c r="AC27" s="12">
        <f>V27-(1-$B$3)</f>
        <v>35077287.945277691</v>
      </c>
      <c r="AD27" s="12">
        <f t="shared" si="6"/>
        <v>16269773.752097312</v>
      </c>
      <c r="AE27" s="12">
        <f t="shared" si="7"/>
        <v>5633166.4174515968</v>
      </c>
      <c r="AF27" s="12">
        <f t="shared" si="8"/>
        <v>19394447.894928608</v>
      </c>
      <c r="AG27" s="12">
        <f t="shared" si="9"/>
        <v>10242225.117741989</v>
      </c>
      <c r="AH27" s="12">
        <f t="shared" si="10"/>
        <v>10516557.3372206</v>
      </c>
      <c r="AI27" s="12">
        <f t="shared" si="11"/>
        <v>10712007.913454155</v>
      </c>
      <c r="AJ27" s="12">
        <f t="shared" si="12"/>
        <v>107845466.37817195</v>
      </c>
      <c r="AK27" s="12" t="b">
        <f t="shared" si="13"/>
        <v>1</v>
      </c>
    </row>
    <row r="28" spans="1:37" x14ac:dyDescent="0.2">
      <c r="A28" s="1">
        <f>Returns!A15</f>
        <v>42825</v>
      </c>
      <c r="B28" s="20">
        <f t="shared" si="14"/>
        <v>107721235.30962832</v>
      </c>
      <c r="C28" s="18">
        <f t="shared" si="15"/>
        <v>0.32214499324124218</v>
      </c>
      <c r="D28" s="18">
        <f t="shared" si="1"/>
        <v>0.15463209459299798</v>
      </c>
      <c r="E28" s="18">
        <f t="shared" si="1"/>
        <v>5.3772644354089523E-2</v>
      </c>
      <c r="F28" s="18">
        <f t="shared" si="1"/>
        <v>0.17869599921928403</v>
      </c>
      <c r="G28" s="18">
        <f t="shared" si="1"/>
        <v>9.4020567921387341E-2</v>
      </c>
      <c r="H28" s="18">
        <f t="shared" si="16"/>
        <v>9.4467285236792736E-2</v>
      </c>
      <c r="I28" s="18">
        <f t="shared" si="1"/>
        <v>0.10226641543420606</v>
      </c>
      <c r="J28" s="12">
        <f>J27*(1+Returns!B15)</f>
        <v>35116358.077119075</v>
      </c>
      <c r="K28" s="12">
        <f>K27*(1+Returns!C15)</f>
        <v>16856124.161073823</v>
      </c>
      <c r="L28" s="12">
        <f>L27*(1+Returns!D15)</f>
        <v>5861644.5188012188</v>
      </c>
      <c r="M28" s="12">
        <f>M27*(1+Returns!E15)</f>
        <v>19479280.532644331</v>
      </c>
      <c r="N28" s="12">
        <f>N27*(1+Returns!F15)</f>
        <v>10248987.254223892</v>
      </c>
      <c r="O28" s="12">
        <f>O27*(1+Returns!G15)</f>
        <v>10297682.982967619</v>
      </c>
      <c r="P28" s="12">
        <f>P27*(1+Returns!H15)</f>
        <v>11147850.002317637</v>
      </c>
      <c r="Q28" s="12">
        <f t="shared" si="2"/>
        <v>109007927.52914761</v>
      </c>
      <c r="R28" s="12">
        <f t="shared" si="3"/>
        <v>386069.74333239783</v>
      </c>
      <c r="S28" s="12">
        <f t="shared" si="4"/>
        <v>108621857.78581521</v>
      </c>
      <c r="T28" s="12"/>
      <c r="U28" t="b">
        <f t="shared" si="5"/>
        <v>0</v>
      </c>
      <c r="V28" s="12">
        <f>IF($U28=TRUE, $Q28*$C$7, $J28)</f>
        <v>35116358.077119075</v>
      </c>
      <c r="W28" s="12">
        <f>IF($U28=TRUE, $Q28*$C$8, $K28)</f>
        <v>16856124.161073823</v>
      </c>
      <c r="X28" s="12">
        <f>IF($U28=TRUE, $Q28*$C$9, $L28)</f>
        <v>5861644.5188012188</v>
      </c>
      <c r="Y28" s="12">
        <f>IF($U28=TRUE, $Q28*$C$10, $M28)</f>
        <v>19479280.532644331</v>
      </c>
      <c r="Z28" s="12">
        <f>IF($U28=TRUE, $Q28*$C$11, $N28)</f>
        <v>10248987.254223892</v>
      </c>
      <c r="AA28" s="12">
        <f>IF($U28=TRUE, $Q28*$C$12, $O28)</f>
        <v>10297682.982967619</v>
      </c>
      <c r="AB28" s="12">
        <f>IF($U28=TRUE, $Q28*$C$13, $P28)</f>
        <v>11147850.002317637</v>
      </c>
      <c r="AC28" s="12">
        <f>V28-(1-$B$3)</f>
        <v>35116357.080660738</v>
      </c>
      <c r="AD28" s="12">
        <f t="shared" si="6"/>
        <v>16796425.388003353</v>
      </c>
      <c r="AE28" s="12">
        <f t="shared" si="7"/>
        <v>5840884.5277971309</v>
      </c>
      <c r="AF28" s="12">
        <f t="shared" si="8"/>
        <v>19410291.414091215</v>
      </c>
      <c r="AG28" s="12">
        <f t="shared" si="9"/>
        <v>10212688.757698515</v>
      </c>
      <c r="AH28" s="12">
        <f t="shared" si="10"/>
        <v>10261212.022402942</v>
      </c>
      <c r="AI28" s="12">
        <f t="shared" si="11"/>
        <v>11108368.033559429</v>
      </c>
      <c r="AJ28" s="12">
        <f t="shared" si="12"/>
        <v>108746227.22421333</v>
      </c>
      <c r="AK28" s="12" t="b">
        <f t="shared" si="13"/>
        <v>1</v>
      </c>
    </row>
    <row r="29" spans="1:37" x14ac:dyDescent="0.2">
      <c r="A29" s="1">
        <f>Returns!A16</f>
        <v>42855</v>
      </c>
      <c r="B29" s="20">
        <f t="shared" si="14"/>
        <v>108621857.78581521</v>
      </c>
      <c r="C29" s="18">
        <f t="shared" si="15"/>
        <v>0.32127752742757876</v>
      </c>
      <c r="D29" s="18">
        <f>K29/$Q29</f>
        <v>0.15640643110415628</v>
      </c>
      <c r="E29" s="18">
        <f t="shared" si="1"/>
        <v>5.4003596311741953E-2</v>
      </c>
      <c r="F29" s="18">
        <f t="shared" si="1"/>
        <v>0.17837343563876629</v>
      </c>
      <c r="G29" s="18">
        <f t="shared" si="1"/>
        <v>9.3956593743497269E-2</v>
      </c>
      <c r="H29" s="18">
        <f t="shared" si="16"/>
        <v>9.3510245682398532E-2</v>
      </c>
      <c r="I29" s="18">
        <f t="shared" si="1"/>
        <v>0.10247217009186091</v>
      </c>
      <c r="J29" s="12">
        <f>J28*(1+Returns!B16)</f>
        <v>35464582.97944624</v>
      </c>
      <c r="K29" s="12">
        <f>K28*(1+Returns!C16)</f>
        <v>17265100.671140939</v>
      </c>
      <c r="L29" s="12">
        <f>L28*(1+Returns!D16)</f>
        <v>5961248.0148273371</v>
      </c>
      <c r="M29" s="12">
        <f>M28*(1+Returns!E16)</f>
        <v>19689953.294246238</v>
      </c>
      <c r="N29" s="12">
        <f>N28*(1+Returns!F16)</f>
        <v>10371504.792016601</v>
      </c>
      <c r="O29" s="12">
        <f>O28*(1+Returns!G16)</f>
        <v>10322234.156820619</v>
      </c>
      <c r="P29" s="12">
        <f>P28*(1+Returns!H16)</f>
        <v>11311506.311707169</v>
      </c>
      <c r="Q29" s="12">
        <f t="shared" si="2"/>
        <v>110386130.22020514</v>
      </c>
      <c r="R29" s="12">
        <f t="shared" si="3"/>
        <v>390950.87786322657</v>
      </c>
      <c r="S29" s="12">
        <f t="shared" si="4"/>
        <v>109995179.34234191</v>
      </c>
      <c r="T29" s="12"/>
      <c r="U29" t="b">
        <f t="shared" si="5"/>
        <v>0</v>
      </c>
      <c r="V29" s="12">
        <f>IF($U29=TRUE, $Q29*$C$7, $J29)</f>
        <v>35464582.97944624</v>
      </c>
      <c r="W29" s="12">
        <f>IF($U29=TRUE, $Q29*$C$8, $K29)</f>
        <v>17265100.671140939</v>
      </c>
      <c r="X29" s="12">
        <f>IF($U29=TRUE, $Q29*$C$9, $L29)</f>
        <v>5961248.0148273371</v>
      </c>
      <c r="Y29" s="12">
        <f>IF($U29=TRUE, $Q29*$C$10, $M29)</f>
        <v>19689953.294246238</v>
      </c>
      <c r="Z29" s="12">
        <f>IF($U29=TRUE, $Q29*$C$11, $N29)</f>
        <v>10371504.792016601</v>
      </c>
      <c r="AA29" s="12">
        <f>IF($U29=TRUE, $Q29*$C$12, $O29)</f>
        <v>10322234.156820619</v>
      </c>
      <c r="AB29" s="12">
        <f>IF($U29=TRUE, $Q29*$C$13, $P29)</f>
        <v>11311506.311707169</v>
      </c>
      <c r="AC29" s="12">
        <f>V29-(1-$B$3)</f>
        <v>35464581.982987903</v>
      </c>
      <c r="AD29" s="12">
        <f t="shared" si="6"/>
        <v>17203953.439597316</v>
      </c>
      <c r="AE29" s="12">
        <f t="shared" si="7"/>
        <v>5940135.2614414906</v>
      </c>
      <c r="AF29" s="12">
        <f t="shared" si="8"/>
        <v>19620218.042995781</v>
      </c>
      <c r="AG29" s="12">
        <f t="shared" si="9"/>
        <v>10334772.379211543</v>
      </c>
      <c r="AH29" s="12">
        <f t="shared" si="10"/>
        <v>10285676.244181881</v>
      </c>
      <c r="AI29" s="12">
        <f t="shared" si="11"/>
        <v>11271444.726853207</v>
      </c>
      <c r="AJ29" s="12">
        <f t="shared" si="12"/>
        <v>110120782.07726914</v>
      </c>
      <c r="AK29" s="12" t="b">
        <f t="shared" si="13"/>
        <v>1</v>
      </c>
    </row>
    <row r="30" spans="1:37" x14ac:dyDescent="0.2">
      <c r="A30" s="1">
        <f>Returns!A17</f>
        <v>42886</v>
      </c>
      <c r="B30" s="20">
        <f t="shared" si="14"/>
        <v>109995179.34234191</v>
      </c>
      <c r="C30" s="18">
        <f t="shared" si="15"/>
        <v>0.32015612085343637</v>
      </c>
      <c r="D30" s="18">
        <f t="shared" si="1"/>
        <v>0.15909174672421056</v>
      </c>
      <c r="E30" s="18">
        <f t="shared" si="1"/>
        <v>5.4567415561966738E-2</v>
      </c>
      <c r="F30" s="18">
        <f t="shared" si="1"/>
        <v>0.17669161671772107</v>
      </c>
      <c r="G30" s="18">
        <f t="shared" si="1"/>
        <v>9.3590559963261488E-2</v>
      </c>
      <c r="H30" s="18">
        <f t="shared" si="16"/>
        <v>9.1199005427722801E-2</v>
      </c>
      <c r="I30" s="18">
        <f t="shared" si="1"/>
        <v>0.10470353475168104</v>
      </c>
      <c r="J30" s="12">
        <f>J29*(1+Returns!B17)</f>
        <v>35972481.73942586</v>
      </c>
      <c r="K30" s="12">
        <f>K29*(1+Returns!C17)</f>
        <v>17875419.463087246</v>
      </c>
      <c r="L30" s="12">
        <f>L29*(1+Returns!D17)</f>
        <v>6131150.4981943322</v>
      </c>
      <c r="M30" s="12">
        <f>M29*(1+Returns!E17)</f>
        <v>19852926.562655263</v>
      </c>
      <c r="N30" s="12">
        <f>N29*(1+Returns!F17)</f>
        <v>10515759.31232092</v>
      </c>
      <c r="O30" s="12">
        <f>O29*(1+Returns!G17)</f>
        <v>10247046.186895808</v>
      </c>
      <c r="P30" s="12">
        <f>P29*(1+Returns!H17)</f>
        <v>11764404.134670351</v>
      </c>
      <c r="Q30" s="12">
        <f t="shared" si="2"/>
        <v>112359187.89724977</v>
      </c>
      <c r="R30" s="12">
        <f t="shared" si="3"/>
        <v>397938.79046942631</v>
      </c>
      <c r="S30" s="12">
        <f t="shared" si="4"/>
        <v>111961249.10678035</v>
      </c>
      <c r="T30" s="12"/>
      <c r="U30" t="b">
        <f t="shared" si="5"/>
        <v>0</v>
      </c>
      <c r="V30" s="12">
        <f>IF($U30=TRUE, $Q30*$C$7, $J30)</f>
        <v>35972481.73942586</v>
      </c>
      <c r="W30" s="12">
        <f>IF($U30=TRUE, $Q30*$C$8, $K30)</f>
        <v>17875419.463087246</v>
      </c>
      <c r="X30" s="12">
        <f>IF($U30=TRUE, $Q30*$C$9, $L30)</f>
        <v>6131150.4981943322</v>
      </c>
      <c r="Y30" s="12">
        <f>IF($U30=TRUE, $Q30*$C$10, $M30)</f>
        <v>19852926.562655263</v>
      </c>
      <c r="Z30" s="12">
        <f>IF($U30=TRUE, $Q30*$C$11, $N30)</f>
        <v>10515759.31232092</v>
      </c>
      <c r="AA30" s="12">
        <f>IF($U30=TRUE, $Q30*$C$12, $O30)</f>
        <v>10247046.186895808</v>
      </c>
      <c r="AB30" s="12">
        <f>IF($U30=TRUE, $Q30*$C$13, $P30)</f>
        <v>11764404.134670351</v>
      </c>
      <c r="AC30" s="12">
        <f>V30-(1-$B$3)</f>
        <v>35972480.742967524</v>
      </c>
      <c r="AD30" s="12">
        <f t="shared" si="6"/>
        <v>17812110.685822144</v>
      </c>
      <c r="AE30" s="12">
        <f t="shared" si="7"/>
        <v>6109436.0068465611</v>
      </c>
      <c r="AF30" s="12">
        <f t="shared" si="8"/>
        <v>19782614.114412524</v>
      </c>
      <c r="AG30" s="12">
        <f t="shared" si="9"/>
        <v>10478515.998089783</v>
      </c>
      <c r="AH30" s="12">
        <f t="shared" si="10"/>
        <v>10210754.564983886</v>
      </c>
      <c r="AI30" s="12">
        <f t="shared" si="11"/>
        <v>11722738.536693392</v>
      </c>
      <c r="AJ30" s="12">
        <f t="shared" si="12"/>
        <v>112088650.64981581</v>
      </c>
      <c r="AK30" s="12" t="b">
        <f t="shared" si="13"/>
        <v>1</v>
      </c>
    </row>
    <row r="31" spans="1:37" x14ac:dyDescent="0.2">
      <c r="A31" s="1">
        <f>Returns!A18</f>
        <v>42916</v>
      </c>
      <c r="B31" s="20">
        <f t="shared" si="14"/>
        <v>111961249.10678035</v>
      </c>
      <c r="C31" s="18">
        <f t="shared" si="15"/>
        <v>0.32067680424574391</v>
      </c>
      <c r="D31" s="18">
        <f t="shared" si="1"/>
        <v>0.15883718535903099</v>
      </c>
      <c r="E31" s="18">
        <f t="shared" si="1"/>
        <v>5.4816925251841127E-2</v>
      </c>
      <c r="F31" s="18">
        <f t="shared" si="1"/>
        <v>0.17496707279976839</v>
      </c>
      <c r="G31" s="18">
        <f t="shared" si="1"/>
        <v>9.3573482691046025E-2</v>
      </c>
      <c r="H31" s="18">
        <f t="shared" si="16"/>
        <v>9.2820585761125424E-2</v>
      </c>
      <c r="I31" s="18">
        <f t="shared" si="1"/>
        <v>0.10430794389144418</v>
      </c>
      <c r="J31" s="12">
        <f>J30*(1+Returns!B18)</f>
        <v>36196704.60336335</v>
      </c>
      <c r="K31" s="12">
        <f>K30*(1+Returns!C18)</f>
        <v>17928901.006711408</v>
      </c>
      <c r="L31" s="12">
        <f>L30*(1+Returns!D18)</f>
        <v>6187513.4850258725</v>
      </c>
      <c r="M31" s="12">
        <f>M30*(1+Returns!E18)</f>
        <v>19749577.660737347</v>
      </c>
      <c r="N31" s="12">
        <f>N30*(1+Returns!F18)</f>
        <v>10562197.411322994</v>
      </c>
      <c r="O31" s="12">
        <f>O30*(1+Returns!G18)</f>
        <v>10477213.441767681</v>
      </c>
      <c r="P31" s="12">
        <f>P30*(1+Returns!H18)</f>
        <v>11773860.107229488</v>
      </c>
      <c r="Q31" s="12">
        <f t="shared" si="2"/>
        <v>112875967.71615814</v>
      </c>
      <c r="R31" s="12">
        <f t="shared" si="3"/>
        <v>399769.05232806009</v>
      </c>
      <c r="S31" s="12">
        <f t="shared" si="4"/>
        <v>112476198.66383007</v>
      </c>
      <c r="T31" s="12"/>
      <c r="U31" t="b">
        <f t="shared" si="5"/>
        <v>0</v>
      </c>
      <c r="V31" s="12">
        <f>IF($U31=TRUE, $Q31*$C$7, $J31)</f>
        <v>36196704.60336335</v>
      </c>
      <c r="W31" s="12">
        <f>IF($U31=TRUE, $Q31*$C$8, $K31)</f>
        <v>17928901.006711408</v>
      </c>
      <c r="X31" s="12">
        <f>IF($U31=TRUE, $Q31*$C$9, $L31)</f>
        <v>6187513.4850258725</v>
      </c>
      <c r="Y31" s="12">
        <f>IF($U31=TRUE, $Q31*$C$10, $M31)</f>
        <v>19749577.660737347</v>
      </c>
      <c r="Z31" s="12">
        <f>IF($U31=TRUE, $Q31*$C$11, $N31)</f>
        <v>10562197.411322994</v>
      </c>
      <c r="AA31" s="12">
        <f>IF($U31=TRUE, $Q31*$C$12, $O31)</f>
        <v>10477213.441767681</v>
      </c>
      <c r="AB31" s="12">
        <f>IF($U31=TRUE, $Q31*$C$13, $P31)</f>
        <v>11773860.107229488</v>
      </c>
      <c r="AC31" s="12">
        <f>V31-(1-$B$3)</f>
        <v>36196703.606905013</v>
      </c>
      <c r="AD31" s="12">
        <f t="shared" si="6"/>
        <v>17865402.815645974</v>
      </c>
      <c r="AE31" s="12">
        <f t="shared" si="7"/>
        <v>6165599.3747664057</v>
      </c>
      <c r="AF31" s="12">
        <f t="shared" si="8"/>
        <v>19679631.239855569</v>
      </c>
      <c r="AG31" s="12">
        <f t="shared" si="9"/>
        <v>10524789.628824558</v>
      </c>
      <c r="AH31" s="12">
        <f t="shared" si="10"/>
        <v>10440106.64416142</v>
      </c>
      <c r="AI31" s="12">
        <f t="shared" si="11"/>
        <v>11732161.019349717</v>
      </c>
      <c r="AJ31" s="12">
        <f t="shared" si="12"/>
        <v>112604394.32950866</v>
      </c>
      <c r="AK31" s="12" t="b">
        <f t="shared" si="13"/>
        <v>1</v>
      </c>
    </row>
    <row r="32" spans="1:37" x14ac:dyDescent="0.2">
      <c r="A32" s="1">
        <f>Returns!A19</f>
        <v>42947</v>
      </c>
      <c r="B32" s="20">
        <f t="shared" si="14"/>
        <v>112476198.66383007</v>
      </c>
      <c r="C32" s="18">
        <f t="shared" si="15"/>
        <v>0.32099339205594574</v>
      </c>
      <c r="D32" s="18">
        <f t="shared" si="1"/>
        <v>0.15991223088840756</v>
      </c>
      <c r="E32" s="18">
        <f t="shared" si="1"/>
        <v>5.6895946395375221E-2</v>
      </c>
      <c r="F32" s="18">
        <f t="shared" si="1"/>
        <v>0.17224343998780323</v>
      </c>
      <c r="G32" s="18">
        <f t="shared" si="1"/>
        <v>9.2470542315707727E-2</v>
      </c>
      <c r="H32" s="18">
        <f t="shared" si="16"/>
        <v>9.215667818851872E-2</v>
      </c>
      <c r="I32" s="18">
        <f t="shared" si="1"/>
        <v>0.10532777016824173</v>
      </c>
      <c r="J32" s="12">
        <f>J31*(1+Returns!B19)</f>
        <v>36942415.491761513</v>
      </c>
      <c r="K32" s="12">
        <f>K31*(1+Returns!C19)</f>
        <v>18403942.953020133</v>
      </c>
      <c r="L32" s="12">
        <f>L31*(1+Returns!D19)</f>
        <v>6548027.9144456899</v>
      </c>
      <c r="M32" s="12">
        <f>M31*(1+Returns!E19)</f>
        <v>19823114.379409708</v>
      </c>
      <c r="N32" s="12">
        <f>N31*(1+Returns!F19)</f>
        <v>10642229.0287521</v>
      </c>
      <c r="O32" s="12">
        <f>O31*(1+Returns!G19)</f>
        <v>10606107.104495931</v>
      </c>
      <c r="P32" s="12">
        <f>P31*(1+Returns!H19)</f>
        <v>12121938.783393331</v>
      </c>
      <c r="Q32" s="12">
        <f t="shared" si="2"/>
        <v>115087775.65527841</v>
      </c>
      <c r="R32" s="12">
        <f t="shared" si="3"/>
        <v>407602.53877911106</v>
      </c>
      <c r="S32" s="12">
        <f t="shared" si="4"/>
        <v>114680173.1164993</v>
      </c>
      <c r="T32" s="12"/>
      <c r="U32" t="b">
        <f t="shared" si="5"/>
        <v>0</v>
      </c>
      <c r="V32" s="12">
        <f>IF($U32=TRUE, $Q32*$C$7, $J32)</f>
        <v>36942415.491761513</v>
      </c>
      <c r="W32" s="12">
        <f>IF($U32=TRUE, $Q32*$C$8, $K32)</f>
        <v>18403942.953020133</v>
      </c>
      <c r="X32" s="12">
        <f>IF($U32=TRUE, $Q32*$C$9, $L32)</f>
        <v>6548027.9144456899</v>
      </c>
      <c r="Y32" s="12">
        <f>IF($U32=TRUE, $Q32*$C$10, $M32)</f>
        <v>19823114.379409708</v>
      </c>
      <c r="Z32" s="12">
        <f>IF($U32=TRUE, $Q32*$C$11, $N32)</f>
        <v>10642229.0287521</v>
      </c>
      <c r="AA32" s="12">
        <f>IF($U32=TRUE, $Q32*$C$12, $O32)</f>
        <v>10606107.104495931</v>
      </c>
      <c r="AB32" s="12">
        <f>IF($U32=TRUE, $Q32*$C$13, $P32)</f>
        <v>12121938.783393331</v>
      </c>
      <c r="AC32" s="12">
        <f>V32-(1-$B$3)</f>
        <v>36942414.495303176</v>
      </c>
      <c r="AD32" s="12">
        <f t="shared" si="6"/>
        <v>18338762.321728189</v>
      </c>
      <c r="AE32" s="12">
        <f t="shared" si="7"/>
        <v>6524836.9822486946</v>
      </c>
      <c r="AF32" s="12">
        <f t="shared" si="8"/>
        <v>19752907.515982632</v>
      </c>
      <c r="AG32" s="12">
        <f t="shared" si="9"/>
        <v>10604537.800941937</v>
      </c>
      <c r="AH32" s="12">
        <f t="shared" si="10"/>
        <v>10568543.808500841</v>
      </c>
      <c r="AI32" s="12">
        <f t="shared" si="11"/>
        <v>12079006.916868813</v>
      </c>
      <c r="AJ32" s="12">
        <f t="shared" si="12"/>
        <v>114811009.84157428</v>
      </c>
      <c r="AK32" s="12" t="b">
        <f t="shared" si="13"/>
        <v>1</v>
      </c>
    </row>
    <row r="33" spans="1:37" x14ac:dyDescent="0.2">
      <c r="A33" s="1">
        <f>Returns!A20</f>
        <v>42978</v>
      </c>
      <c r="B33" s="20">
        <f t="shared" si="14"/>
        <v>114680173.1164993</v>
      </c>
      <c r="C33" s="18">
        <f t="shared" si="15"/>
        <v>0.31974230536545695</v>
      </c>
      <c r="D33" s="18">
        <f t="shared" ref="D33:G96" si="17">K33/$Q33</f>
        <v>0.15874741648515087</v>
      </c>
      <c r="E33" s="18">
        <f t="shared" si="17"/>
        <v>5.7837122402401471E-2</v>
      </c>
      <c r="F33" s="18">
        <f t="shared" si="17"/>
        <v>0.1735636117202819</v>
      </c>
      <c r="G33" s="18">
        <f t="shared" si="17"/>
        <v>9.2449493910734482E-2</v>
      </c>
      <c r="H33" s="18">
        <f t="shared" si="16"/>
        <v>9.1293975232904084E-2</v>
      </c>
      <c r="I33" s="18">
        <f t="shared" si="16"/>
        <v>0.10636607488307041</v>
      </c>
      <c r="J33" s="12">
        <f>J32*(1+Returns!B20)</f>
        <v>37049430.949549869</v>
      </c>
      <c r="K33" s="12">
        <f>K32*(1+Returns!C20)</f>
        <v>18394505.033557046</v>
      </c>
      <c r="L33" s="12">
        <f>L32*(1+Returns!D20)</f>
        <v>6701748.3667644067</v>
      </c>
      <c r="M33" s="12">
        <f>M32*(1+Returns!E20)</f>
        <v>20111298.817450054</v>
      </c>
      <c r="N33" s="12">
        <f>N32*(1+Returns!F20)</f>
        <v>10712380.199585021</v>
      </c>
      <c r="O33" s="12">
        <f>O32*(1+Returns!G20)</f>
        <v>10578487.033911306</v>
      </c>
      <c r="P33" s="12">
        <f>P32*(1+Returns!H20)</f>
        <v>12324933.174703721</v>
      </c>
      <c r="Q33" s="12">
        <f t="shared" si="2"/>
        <v>115872783.57552141</v>
      </c>
      <c r="R33" s="12">
        <f t="shared" si="3"/>
        <v>410382.77516330505</v>
      </c>
      <c r="S33" s="12">
        <f t="shared" si="4"/>
        <v>115462400.8003581</v>
      </c>
      <c r="T33" s="12"/>
      <c r="U33" t="b">
        <f t="shared" si="5"/>
        <v>0</v>
      </c>
      <c r="V33" s="12">
        <f>IF($U33=TRUE, $Q33*$C$7, $J33)</f>
        <v>37049430.949549869</v>
      </c>
      <c r="W33" s="12">
        <f>IF($U33=TRUE, $Q33*$C$8, $K33)</f>
        <v>18394505.033557046</v>
      </c>
      <c r="X33" s="12">
        <f>IF($U33=TRUE, $Q33*$C$9, $L33)</f>
        <v>6701748.3667644067</v>
      </c>
      <c r="Y33" s="12">
        <f>IF($U33=TRUE, $Q33*$C$10, $M33)</f>
        <v>20111298.817450054</v>
      </c>
      <c r="Z33" s="12">
        <f>IF($U33=TRUE, $Q33*$C$11, $N33)</f>
        <v>10712380.199585021</v>
      </c>
      <c r="AA33" s="12">
        <f>IF($U33=TRUE, $Q33*$C$12, $O33)</f>
        <v>10578487.033911306</v>
      </c>
      <c r="AB33" s="12">
        <f>IF($U33=TRUE, $Q33*$C$13, $P33)</f>
        <v>12324933.174703721</v>
      </c>
      <c r="AC33" s="12">
        <f>V33-(1-$B$3)</f>
        <v>37049429.953091532</v>
      </c>
      <c r="AD33" s="12">
        <f t="shared" si="6"/>
        <v>18329357.828229863</v>
      </c>
      <c r="AE33" s="12">
        <f t="shared" si="7"/>
        <v>6678013.0079654492</v>
      </c>
      <c r="AF33" s="12">
        <f t="shared" si="8"/>
        <v>20040071.300804917</v>
      </c>
      <c r="AG33" s="12">
        <f t="shared" si="9"/>
        <v>10674440.519711491</v>
      </c>
      <c r="AH33" s="12">
        <f t="shared" si="10"/>
        <v>10541021.558999537</v>
      </c>
      <c r="AI33" s="12">
        <f t="shared" si="11"/>
        <v>12281282.369709978</v>
      </c>
      <c r="AJ33" s="12">
        <f t="shared" si="12"/>
        <v>115593616.53851277</v>
      </c>
      <c r="AK33" s="12" t="b">
        <f t="shared" si="13"/>
        <v>1</v>
      </c>
    </row>
    <row r="34" spans="1:37" x14ac:dyDescent="0.2">
      <c r="A34" s="1">
        <f>Returns!A21</f>
        <v>43008</v>
      </c>
      <c r="B34" s="20">
        <f t="shared" si="14"/>
        <v>115462400.8003581</v>
      </c>
      <c r="C34" s="18">
        <f t="shared" si="15"/>
        <v>0.32435092306237007</v>
      </c>
      <c r="D34" s="18">
        <f t="shared" si="17"/>
        <v>0.16156946608281283</v>
      </c>
      <c r="E34" s="18">
        <f t="shared" si="17"/>
        <v>5.7482956707852056E-2</v>
      </c>
      <c r="F34" s="18">
        <f t="shared" si="17"/>
        <v>0.17008595967472037</v>
      </c>
      <c r="G34" s="18">
        <f t="shared" si="17"/>
        <v>9.187253381913961E-2</v>
      </c>
      <c r="H34" s="18">
        <f t="shared" si="16"/>
        <v>9.0669124066738799E-2</v>
      </c>
      <c r="I34" s="18">
        <f t="shared" si="16"/>
        <v>0.10396903658636622</v>
      </c>
      <c r="J34" s="12">
        <f>J33*(1+Returns!B21)</f>
        <v>37798539.154068299</v>
      </c>
      <c r="K34" s="12">
        <f>K33*(1+Returns!C21)</f>
        <v>18828649.328859061</v>
      </c>
      <c r="L34" s="12">
        <f>L33*(1+Returns!D21)</f>
        <v>6698830.2955917669</v>
      </c>
      <c r="M34" s="12">
        <f>M33*(1+Returns!E21)</f>
        <v>19821126.900526673</v>
      </c>
      <c r="N34" s="12">
        <f>N33*(1+Returns!F21)</f>
        <v>10706451.931627309</v>
      </c>
      <c r="O34" s="12">
        <f>O33*(1+Returns!G21)</f>
        <v>10566211.446984807</v>
      </c>
      <c r="P34" s="12">
        <f>P33*(1+Returns!H21)</f>
        <v>12116129.231624968</v>
      </c>
      <c r="Q34" s="12">
        <f t="shared" si="2"/>
        <v>116535938.28928289</v>
      </c>
      <c r="R34" s="12">
        <f t="shared" si="3"/>
        <v>412731.44810787693</v>
      </c>
      <c r="S34" s="12">
        <f t="shared" si="4"/>
        <v>116123206.841175</v>
      </c>
      <c r="T34" s="12"/>
      <c r="U34" t="b">
        <f t="shared" si="5"/>
        <v>0</v>
      </c>
      <c r="V34" s="12">
        <f>IF($U34=TRUE, $Q34*$C$7, $J34)</f>
        <v>37798539.154068299</v>
      </c>
      <c r="W34" s="12">
        <f>IF($U34=TRUE, $Q34*$C$8, $K34)</f>
        <v>18828649.328859061</v>
      </c>
      <c r="X34" s="12">
        <f>IF($U34=TRUE, $Q34*$C$9, $L34)</f>
        <v>6698830.2955917669</v>
      </c>
      <c r="Y34" s="12">
        <f>IF($U34=TRUE, $Q34*$C$10, $M34)</f>
        <v>19821126.900526673</v>
      </c>
      <c r="Z34" s="12">
        <f>IF($U34=TRUE, $Q34*$C$11, $N34)</f>
        <v>10706451.931627309</v>
      </c>
      <c r="AA34" s="12">
        <f>IF($U34=TRUE, $Q34*$C$12, $O34)</f>
        <v>10566211.446984807</v>
      </c>
      <c r="AB34" s="12">
        <f>IF($U34=TRUE, $Q34*$C$13, $P34)</f>
        <v>12116129.231624968</v>
      </c>
      <c r="AC34" s="12">
        <f>V34-(1-$B$3)</f>
        <v>37798538.157609962</v>
      </c>
      <c r="AD34" s="12">
        <f t="shared" si="6"/>
        <v>18761964.529152684</v>
      </c>
      <c r="AE34" s="12">
        <f t="shared" si="7"/>
        <v>6675105.2716282131</v>
      </c>
      <c r="AF34" s="12">
        <f t="shared" si="8"/>
        <v>19750927.076087307</v>
      </c>
      <c r="AG34" s="12">
        <f t="shared" si="9"/>
        <v>10668533.247702796</v>
      </c>
      <c r="AH34" s="12">
        <f t="shared" si="10"/>
        <v>10528789.44811007</v>
      </c>
      <c r="AI34" s="12">
        <f t="shared" si="11"/>
        <v>12073217.940596297</v>
      </c>
      <c r="AJ34" s="12">
        <f t="shared" si="12"/>
        <v>116257075.67088734</v>
      </c>
      <c r="AK34" s="12" t="b">
        <f t="shared" si="13"/>
        <v>1</v>
      </c>
    </row>
    <row r="35" spans="1:37" x14ac:dyDescent="0.2">
      <c r="A35" s="1">
        <f>Returns!A22</f>
        <v>43039</v>
      </c>
      <c r="B35" s="20">
        <f t="shared" si="14"/>
        <v>116123206.841175</v>
      </c>
      <c r="C35" s="18">
        <f t="shared" si="15"/>
        <v>0.3281001244860669</v>
      </c>
      <c r="D35" s="18">
        <f t="shared" si="17"/>
        <v>0.16237867963962882</v>
      </c>
      <c r="E35" s="18">
        <f t="shared" si="17"/>
        <v>5.8676013326737358E-2</v>
      </c>
      <c r="F35" s="18">
        <f t="shared" si="17"/>
        <v>0.16779763393162281</v>
      </c>
      <c r="G35" s="18">
        <f t="shared" si="17"/>
        <v>9.0984718928970879E-2</v>
      </c>
      <c r="H35" s="18">
        <f t="shared" si="16"/>
        <v>8.8648004441112135E-2</v>
      </c>
      <c r="I35" s="18">
        <f t="shared" si="16"/>
        <v>0.10341482524586124</v>
      </c>
      <c r="J35" s="12">
        <f>J34*(1+Returns!B22)</f>
        <v>38686937.31951759</v>
      </c>
      <c r="K35" s="12">
        <f>K34*(1+Returns!C22)</f>
        <v>19146392.617449664</v>
      </c>
      <c r="L35" s="12">
        <f>L34*(1+Returns!D22)</f>
        <v>6918605.2680911571</v>
      </c>
      <c r="M35" s="12">
        <f>M34*(1+Returns!E22)</f>
        <v>19785352.280632008</v>
      </c>
      <c r="N35" s="12">
        <f>N34*(1+Returns!F22)</f>
        <v>10728188.914138919</v>
      </c>
      <c r="O35" s="12">
        <f>O34*(1+Returns!G22)</f>
        <v>10452662.267914684</v>
      </c>
      <c r="P35" s="12">
        <f>P34*(1+Returns!H22)</f>
        <v>12193847.437462332</v>
      </c>
      <c r="Q35" s="12">
        <f t="shared" si="2"/>
        <v>117911986.10520634</v>
      </c>
      <c r="R35" s="12">
        <f t="shared" si="3"/>
        <v>417604.95078927249</v>
      </c>
      <c r="S35" s="12">
        <f t="shared" si="4"/>
        <v>117494381.15441707</v>
      </c>
      <c r="T35" s="12"/>
      <c r="U35" t="b">
        <f t="shared" si="5"/>
        <v>0</v>
      </c>
      <c r="V35" s="12">
        <f>IF($U35=TRUE, $Q35*$C$7, $J35)</f>
        <v>38686937.31951759</v>
      </c>
      <c r="W35" s="12">
        <f>IF($U35=TRUE, $Q35*$C$8, $K35)</f>
        <v>19146392.617449664</v>
      </c>
      <c r="X35" s="12">
        <f>IF($U35=TRUE, $Q35*$C$9, $L35)</f>
        <v>6918605.2680911571</v>
      </c>
      <c r="Y35" s="12">
        <f>IF($U35=TRUE, $Q35*$C$10, $M35)</f>
        <v>19785352.280632008</v>
      </c>
      <c r="Z35" s="12">
        <f>IF($U35=TRUE, $Q35*$C$11, $N35)</f>
        <v>10728188.914138919</v>
      </c>
      <c r="AA35" s="12">
        <f>IF($U35=TRUE, $Q35*$C$12, $O35)</f>
        <v>10452662.267914684</v>
      </c>
      <c r="AB35" s="12">
        <f>IF($U35=TRUE, $Q35*$C$13, $P35)</f>
        <v>12193847.437462332</v>
      </c>
      <c r="AC35" s="12">
        <f>V35-(1-$B$3)</f>
        <v>38686936.323059253</v>
      </c>
      <c r="AD35" s="12">
        <f t="shared" si="6"/>
        <v>19078582.476929531</v>
      </c>
      <c r="AE35" s="12">
        <f t="shared" si="7"/>
        <v>6894101.874433334</v>
      </c>
      <c r="AF35" s="12">
        <f t="shared" si="8"/>
        <v>19715279.157971438</v>
      </c>
      <c r="AG35" s="12">
        <f t="shared" si="9"/>
        <v>10690193.24506801</v>
      </c>
      <c r="AH35" s="12">
        <f t="shared" si="10"/>
        <v>10415642.422382487</v>
      </c>
      <c r="AI35" s="12">
        <f t="shared" si="11"/>
        <v>12150660.894454652</v>
      </c>
      <c r="AJ35" s="12">
        <f t="shared" si="12"/>
        <v>117631396.39429872</v>
      </c>
      <c r="AK35" s="12" t="b">
        <f t="shared" si="13"/>
        <v>1</v>
      </c>
    </row>
    <row r="36" spans="1:37" x14ac:dyDescent="0.2">
      <c r="A36" s="1">
        <f>Returns!A23</f>
        <v>43069</v>
      </c>
      <c r="B36" s="20">
        <f t="shared" si="14"/>
        <v>117494381.15441707</v>
      </c>
      <c r="C36" s="18">
        <f t="shared" si="15"/>
        <v>0.33330227681124869</v>
      </c>
      <c r="D36" s="18">
        <f t="shared" si="17"/>
        <v>0.16117326192672107</v>
      </c>
      <c r="E36" s="18">
        <f t="shared" si="17"/>
        <v>5.761785823103218E-2</v>
      </c>
      <c r="F36" s="18">
        <f t="shared" si="17"/>
        <v>0.16496184984423334</v>
      </c>
      <c r="G36" s="18">
        <f t="shared" si="17"/>
        <v>8.9574689339125796E-2</v>
      </c>
      <c r="H36" s="18">
        <f t="shared" si="16"/>
        <v>8.9721625582263112E-2</v>
      </c>
      <c r="I36" s="18">
        <f t="shared" si="16"/>
        <v>0.10364843826537568</v>
      </c>
      <c r="J36" s="12">
        <f>J35*(1+Returns!B23)</f>
        <v>39867504.671309672</v>
      </c>
      <c r="K36" s="12">
        <f>K35*(1+Returns!C23)</f>
        <v>19278523.489932884</v>
      </c>
      <c r="L36" s="12">
        <f>L35*(1+Returns!D23)</f>
        <v>6891882.8102617068</v>
      </c>
      <c r="M36" s="12">
        <f>M35*(1+Returns!E23)</f>
        <v>19731690.350790013</v>
      </c>
      <c r="N36" s="12">
        <f>N35*(1+Returns!F23)</f>
        <v>10714356.288904259</v>
      </c>
      <c r="O36" s="12">
        <f>O35*(1+Returns!G23)</f>
        <v>10731931.870492557</v>
      </c>
      <c r="P36" s="12">
        <f>P35*(1+Returns!H23)</f>
        <v>12397768.884905975</v>
      </c>
      <c r="Q36" s="12">
        <f t="shared" si="2"/>
        <v>119613658.36659709</v>
      </c>
      <c r="R36" s="12">
        <f t="shared" si="3"/>
        <v>423631.70671503135</v>
      </c>
      <c r="S36" s="12">
        <f t="shared" si="4"/>
        <v>119190026.65988205</v>
      </c>
      <c r="T36" s="12"/>
      <c r="U36" t="b">
        <f t="shared" si="5"/>
        <v>0</v>
      </c>
      <c r="V36" s="12">
        <f>IF($U36=TRUE, $Q36*$C$7, $J36)</f>
        <v>39867504.671309672</v>
      </c>
      <c r="W36" s="12">
        <f>IF($U36=TRUE, $Q36*$C$8, $K36)</f>
        <v>19278523.489932884</v>
      </c>
      <c r="X36" s="12">
        <f>IF($U36=TRUE, $Q36*$C$9, $L36)</f>
        <v>6891882.8102617068</v>
      </c>
      <c r="Y36" s="12">
        <f>IF($U36=TRUE, $Q36*$C$10, $M36)</f>
        <v>19731690.350790013</v>
      </c>
      <c r="Z36" s="12">
        <f>IF($U36=TRUE, $Q36*$C$11, $N36)</f>
        <v>10714356.288904259</v>
      </c>
      <c r="AA36" s="12">
        <f>IF($U36=TRUE, $Q36*$C$12, $O36)</f>
        <v>10731931.870492557</v>
      </c>
      <c r="AB36" s="12">
        <f>IF($U36=TRUE, $Q36*$C$13, $P36)</f>
        <v>12397768.884905975</v>
      </c>
      <c r="AC36" s="12">
        <f>V36-(1-$B$3)</f>
        <v>39867503.674851336</v>
      </c>
      <c r="AD36" s="12">
        <f t="shared" si="6"/>
        <v>19210245.385906037</v>
      </c>
      <c r="AE36" s="12">
        <f t="shared" si="7"/>
        <v>6867474.0586420298</v>
      </c>
      <c r="AF36" s="12">
        <f t="shared" si="8"/>
        <v>19661807.280797631</v>
      </c>
      <c r="AG36" s="12">
        <f t="shared" si="9"/>
        <v>10676409.610381056</v>
      </c>
      <c r="AH36" s="12">
        <f t="shared" si="10"/>
        <v>10693922.945117896</v>
      </c>
      <c r="AI36" s="12">
        <f t="shared" si="11"/>
        <v>12353860.120105267</v>
      </c>
      <c r="AJ36" s="12">
        <f t="shared" si="12"/>
        <v>119331223.07580124</v>
      </c>
      <c r="AK36" s="12" t="b">
        <f t="shared" si="13"/>
        <v>1</v>
      </c>
    </row>
    <row r="37" spans="1:37" x14ac:dyDescent="0.2">
      <c r="A37" s="1">
        <f>Returns!A24</f>
        <v>43100</v>
      </c>
      <c r="B37" s="20">
        <f t="shared" si="14"/>
        <v>119190026.65988205</v>
      </c>
      <c r="C37" s="18">
        <f t="shared" si="15"/>
        <v>0.33448810304732096</v>
      </c>
      <c r="D37" s="18">
        <f t="shared" si="17"/>
        <v>0.16194453211623111</v>
      </c>
      <c r="E37" s="18">
        <f t="shared" si="17"/>
        <v>5.9281199779474866E-2</v>
      </c>
      <c r="F37" s="18">
        <f t="shared" si="17"/>
        <v>0.16382618394443735</v>
      </c>
      <c r="G37" s="18">
        <f t="shared" si="17"/>
        <v>8.9928757258317546E-2</v>
      </c>
      <c r="H37" s="18">
        <f t="shared" si="16"/>
        <v>8.8820660345136679E-2</v>
      </c>
      <c r="I37" s="18">
        <f t="shared" si="16"/>
        <v>0.10171056350908139</v>
      </c>
      <c r="J37" s="12">
        <f>J36*(1+Returns!B24)</f>
        <v>40351622.218447439</v>
      </c>
      <c r="K37" s="12">
        <f>K36*(1+Returns!C24)</f>
        <v>19536493.288590599</v>
      </c>
      <c r="L37" s="12">
        <f>L36*(1+Returns!D24)</f>
        <v>7151502.7182275113</v>
      </c>
      <c r="M37" s="12">
        <f>M36*(1+Returns!E24)</f>
        <v>19763490.012918603</v>
      </c>
      <c r="N37" s="12">
        <f>N36*(1+Returns!F24)</f>
        <v>10848730.362612391</v>
      </c>
      <c r="O37" s="12">
        <f>O36*(1+Returns!G24)</f>
        <v>10715052.93846862</v>
      </c>
      <c r="P37" s="12">
        <f>P36*(1+Returns!H24)</f>
        <v>12270051.451615389</v>
      </c>
      <c r="Q37" s="12">
        <f t="shared" si="2"/>
        <v>120636942.99088056</v>
      </c>
      <c r="R37" s="12">
        <f t="shared" si="3"/>
        <v>427255.83975936868</v>
      </c>
      <c r="S37" s="12">
        <f t="shared" si="4"/>
        <v>120209687.1511212</v>
      </c>
      <c r="T37" s="12"/>
      <c r="U37" t="b">
        <f t="shared" si="5"/>
        <v>0</v>
      </c>
      <c r="V37" s="12">
        <f>IF($U37=TRUE, $Q37*$C$7, $J37)</f>
        <v>40351622.218447439</v>
      </c>
      <c r="W37" s="12">
        <f>IF($U37=TRUE, $Q37*$C$8, $K37)</f>
        <v>19536493.288590599</v>
      </c>
      <c r="X37" s="12">
        <f>IF($U37=TRUE, $Q37*$C$9, $L37)</f>
        <v>7151502.7182275113</v>
      </c>
      <c r="Y37" s="12">
        <f>IF($U37=TRUE, $Q37*$C$10, $M37)</f>
        <v>19763490.012918603</v>
      </c>
      <c r="Z37" s="12">
        <f>IF($U37=TRUE, $Q37*$C$11, $N37)</f>
        <v>10848730.362612391</v>
      </c>
      <c r="AA37" s="12">
        <f>IF($U37=TRUE, $Q37*$C$12, $O37)</f>
        <v>10715052.93846862</v>
      </c>
      <c r="AB37" s="12">
        <f>IF($U37=TRUE, $Q37*$C$13, $P37)</f>
        <v>12270051.451615389</v>
      </c>
      <c r="AC37" s="12">
        <f>V37-(1-$B$3)</f>
        <v>40351621.221989103</v>
      </c>
      <c r="AD37" s="12">
        <f t="shared" si="6"/>
        <v>19467301.541526839</v>
      </c>
      <c r="AE37" s="12">
        <f t="shared" si="7"/>
        <v>7126174.4794337889</v>
      </c>
      <c r="AF37" s="12">
        <f t="shared" si="8"/>
        <v>19693494.319122851</v>
      </c>
      <c r="AG37" s="12">
        <f t="shared" si="9"/>
        <v>10810307.775911473</v>
      </c>
      <c r="AH37" s="12">
        <f t="shared" si="10"/>
        <v>10677103.792644877</v>
      </c>
      <c r="AI37" s="12">
        <f t="shared" si="11"/>
        <v>12226595.019390918</v>
      </c>
      <c r="AJ37" s="12">
        <f t="shared" si="12"/>
        <v>120352598.15001985</v>
      </c>
      <c r="AK37" s="12" t="b">
        <f t="shared" si="13"/>
        <v>1</v>
      </c>
    </row>
    <row r="38" spans="1:37" x14ac:dyDescent="0.2">
      <c r="A38" s="1">
        <f>Returns!A25</f>
        <v>43131</v>
      </c>
      <c r="B38" s="20">
        <f t="shared" si="14"/>
        <v>120209687.1511212</v>
      </c>
      <c r="C38" s="18">
        <f t="shared" si="15"/>
        <v>0.34478970159552275</v>
      </c>
      <c r="D38" s="18">
        <f t="shared" si="17"/>
        <v>0.16597735877042841</v>
      </c>
      <c r="E38" s="18">
        <f t="shared" si="17"/>
        <v>6.265023924152914E-2</v>
      </c>
      <c r="F38" s="18">
        <f t="shared" si="17"/>
        <v>0.15648124357642995</v>
      </c>
      <c r="G38" s="18">
        <f t="shared" si="17"/>
        <v>8.6648083644098442E-2</v>
      </c>
      <c r="H38" s="18">
        <f t="shared" si="16"/>
        <v>8.2991133022901328E-2</v>
      </c>
      <c r="I38" s="18">
        <f t="shared" si="16"/>
        <v>0.10046224014908994</v>
      </c>
      <c r="J38" s="12">
        <f>J37*(1+Returns!B25)</f>
        <v>42622728.044844583</v>
      </c>
      <c r="K38" s="12">
        <f>K37*(1+Returns!C25)</f>
        <v>20518036.912751671</v>
      </c>
      <c r="L38" s="12">
        <f>L37*(1+Returns!D25)</f>
        <v>7744790.8008248415</v>
      </c>
      <c r="M38" s="12">
        <f>M37*(1+Returns!E25)</f>
        <v>19344131.968597826</v>
      </c>
      <c r="N38" s="12">
        <f>N37*(1+Returns!F25)</f>
        <v>10711392.154925404</v>
      </c>
      <c r="O38" s="12">
        <f>O37*(1+Returns!G25)</f>
        <v>10259321.773822311</v>
      </c>
      <c r="P38" s="12">
        <f>P37*(1+Returns!H25)</f>
        <v>12419091.1759707</v>
      </c>
      <c r="Q38" s="12">
        <f t="shared" si="2"/>
        <v>123619492.83173734</v>
      </c>
      <c r="R38" s="12">
        <f t="shared" si="3"/>
        <v>437819.03711240314</v>
      </c>
      <c r="S38" s="12">
        <f t="shared" si="4"/>
        <v>123181673.79462494</v>
      </c>
      <c r="T38" s="12"/>
      <c r="U38" t="b">
        <f t="shared" si="5"/>
        <v>0</v>
      </c>
      <c r="V38" s="12">
        <f>IF($U38=TRUE, $Q38*$C$7, $J38)</f>
        <v>42622728.044844583</v>
      </c>
      <c r="W38" s="12">
        <f>IF($U38=TRUE, $Q38*$C$8, $K38)</f>
        <v>20518036.912751671</v>
      </c>
      <c r="X38" s="12">
        <f>IF($U38=TRUE, $Q38*$C$9, $L38)</f>
        <v>7744790.8008248415</v>
      </c>
      <c r="Y38" s="12">
        <f>IF($U38=TRUE, $Q38*$C$10, $M38)</f>
        <v>19344131.968597826</v>
      </c>
      <c r="Z38" s="12">
        <f>IF($U38=TRUE, $Q38*$C$11, $N38)</f>
        <v>10711392.154925404</v>
      </c>
      <c r="AA38" s="12">
        <f>IF($U38=TRUE, $Q38*$C$12, $O38)</f>
        <v>10259321.773822311</v>
      </c>
      <c r="AB38" s="12">
        <f>IF($U38=TRUE, $Q38*$C$13, $P38)</f>
        <v>12419091.1759707</v>
      </c>
      <c r="AC38" s="12">
        <f>V38-(1-$B$3)</f>
        <v>42622727.048386246</v>
      </c>
      <c r="AD38" s="12">
        <f t="shared" si="6"/>
        <v>20445368.865352344</v>
      </c>
      <c r="AE38" s="12">
        <f t="shared" si="7"/>
        <v>7717361.3334052535</v>
      </c>
      <c r="AF38" s="12">
        <f t="shared" si="8"/>
        <v>19275621.501209043</v>
      </c>
      <c r="AG38" s="12">
        <f t="shared" si="9"/>
        <v>10673455.97437671</v>
      </c>
      <c r="AH38" s="12">
        <f t="shared" si="10"/>
        <v>10222986.675873358</v>
      </c>
      <c r="AI38" s="12">
        <f t="shared" si="11"/>
        <v>12375106.894722471</v>
      </c>
      <c r="AJ38" s="12">
        <f t="shared" si="12"/>
        <v>123332628.29332542</v>
      </c>
      <c r="AK38" s="12" t="b">
        <f t="shared" si="13"/>
        <v>1</v>
      </c>
    </row>
    <row r="39" spans="1:37" x14ac:dyDescent="0.2">
      <c r="A39" s="1">
        <f>Returns!A26</f>
        <v>43159</v>
      </c>
      <c r="B39" s="20">
        <f t="shared" si="14"/>
        <v>123181673.79462494</v>
      </c>
      <c r="C39" s="18">
        <f t="shared" si="15"/>
        <v>0.34641947705320347</v>
      </c>
      <c r="D39" s="18">
        <f t="shared" si="17"/>
        <v>0.16468000763052965</v>
      </c>
      <c r="E39" s="18">
        <f t="shared" si="17"/>
        <v>6.146459076489761E-2</v>
      </c>
      <c r="F39" s="18">
        <f t="shared" si="17"/>
        <v>0.16159530052452767</v>
      </c>
      <c r="G39" s="18">
        <f t="shared" si="17"/>
        <v>8.8342258056771331E-2</v>
      </c>
      <c r="H39" s="18">
        <f t="shared" si="16"/>
        <v>7.988268920342638E-2</v>
      </c>
      <c r="I39" s="18">
        <f t="shared" si="16"/>
        <v>9.7615676766643858E-2</v>
      </c>
      <c r="J39" s="12">
        <f>J38*(1+Returns!B26)</f>
        <v>41076949.210124016</v>
      </c>
      <c r="K39" s="12">
        <f>K38*(1+Returns!C26)</f>
        <v>19527055.369127512</v>
      </c>
      <c r="L39" s="12">
        <f>L38*(1+Returns!D26)</f>
        <v>7288209.9313457441</v>
      </c>
      <c r="M39" s="12">
        <f>M38*(1+Returns!E26)</f>
        <v>19161283.911358435</v>
      </c>
      <c r="N39" s="12">
        <f>N38*(1+Returns!F26)</f>
        <v>10475249.481276555</v>
      </c>
      <c r="O39" s="12">
        <f>O38*(1+Returns!G26)</f>
        <v>9472149.7621605042</v>
      </c>
      <c r="P39" s="12">
        <f>P38*(1+Returns!H26)</f>
        <v>11574852.057292063</v>
      </c>
      <c r="Q39" s="12">
        <f t="shared" si="2"/>
        <v>118575749.72268483</v>
      </c>
      <c r="R39" s="12">
        <f t="shared" si="3"/>
        <v>419955.78026784211</v>
      </c>
      <c r="S39" s="12">
        <f t="shared" si="4"/>
        <v>118155793.942417</v>
      </c>
      <c r="T39" s="12"/>
      <c r="U39" t="b">
        <f t="shared" si="5"/>
        <v>0</v>
      </c>
      <c r="V39" s="12">
        <f>IF($U39=TRUE, $Q39*$C$7, $J39)</f>
        <v>41076949.210124016</v>
      </c>
      <c r="W39" s="12">
        <f>IF($U39=TRUE, $Q39*$C$8, $K39)</f>
        <v>19527055.369127512</v>
      </c>
      <c r="X39" s="12">
        <f>IF($U39=TRUE, $Q39*$C$9, $L39)</f>
        <v>7288209.9313457441</v>
      </c>
      <c r="Y39" s="12">
        <f>IF($U39=TRUE, $Q39*$C$10, $M39)</f>
        <v>19161283.911358435</v>
      </c>
      <c r="Z39" s="12">
        <f>IF($U39=TRUE, $Q39*$C$11, $N39)</f>
        <v>10475249.481276555</v>
      </c>
      <c r="AA39" s="12">
        <f>IF($U39=TRUE, $Q39*$C$12, $O39)</f>
        <v>9472149.7621605042</v>
      </c>
      <c r="AB39" s="12">
        <f>IF($U39=TRUE, $Q39*$C$13, $P39)</f>
        <v>11574852.057292063</v>
      </c>
      <c r="AC39" s="12">
        <f>V39-(1-$B$3)</f>
        <v>41076948.213665679</v>
      </c>
      <c r="AD39" s="12">
        <f t="shared" si="6"/>
        <v>19457897.048028518</v>
      </c>
      <c r="AE39" s="12">
        <f t="shared" si="7"/>
        <v>7262397.5211722283</v>
      </c>
      <c r="AF39" s="12">
        <f t="shared" si="8"/>
        <v>19093421.030839041</v>
      </c>
      <c r="AG39" s="12">
        <f t="shared" si="9"/>
        <v>10438149.639363701</v>
      </c>
      <c r="AH39" s="12">
        <f t="shared" si="10"/>
        <v>9438602.5650861859</v>
      </c>
      <c r="AI39" s="12">
        <f t="shared" si="11"/>
        <v>11533857.789589154</v>
      </c>
      <c r="AJ39" s="12">
        <f t="shared" si="12"/>
        <v>118301273.8077445</v>
      </c>
      <c r="AK39" s="12" t="b">
        <f t="shared" si="13"/>
        <v>1</v>
      </c>
    </row>
    <row r="40" spans="1:37" x14ac:dyDescent="0.2">
      <c r="A40" s="1">
        <f>Returns!A27</f>
        <v>43190</v>
      </c>
      <c r="B40" s="20">
        <f t="shared" si="14"/>
        <v>118155793.942417</v>
      </c>
      <c r="C40" s="18">
        <f t="shared" si="15"/>
        <v>0.33849081483796084</v>
      </c>
      <c r="D40" s="18">
        <f t="shared" si="17"/>
        <v>0.16405394424891312</v>
      </c>
      <c r="E40" s="18">
        <f t="shared" si="17"/>
        <v>6.2082958483819749E-2</v>
      </c>
      <c r="F40" s="18">
        <f t="shared" si="17"/>
        <v>0.16424376085830003</v>
      </c>
      <c r="G40" s="18">
        <f t="shared" si="17"/>
        <v>8.92521856377642E-2</v>
      </c>
      <c r="H40" s="18">
        <f t="shared" si="16"/>
        <v>8.3371406005103121E-2</v>
      </c>
      <c r="I40" s="18">
        <f t="shared" si="16"/>
        <v>9.8504929928138946E-2</v>
      </c>
      <c r="J40" s="12">
        <f>J39*(1+Returns!B27)</f>
        <v>39952437.5743163</v>
      </c>
      <c r="K40" s="12">
        <f>K39*(1+Returns!C27)</f>
        <v>19363464.765100665</v>
      </c>
      <c r="L40" s="12">
        <f>L39*(1+Returns!D27)</f>
        <v>7327718.8464953071</v>
      </c>
      <c r="M40" s="12">
        <f>M39*(1+Returns!E27)</f>
        <v>19385869.025141604</v>
      </c>
      <c r="N40" s="12">
        <f>N39*(1+Returns!F27)</f>
        <v>10534532.160853673</v>
      </c>
      <c r="O40" s="12">
        <f>O39*(1+Returns!G27)</f>
        <v>9840417.3699555025</v>
      </c>
      <c r="P40" s="12">
        <f>P39*(1+Returns!H27)</f>
        <v>11626643.593269566</v>
      </c>
      <c r="Q40" s="12">
        <f t="shared" si="2"/>
        <v>118031083.33513261</v>
      </c>
      <c r="R40" s="12">
        <f t="shared" si="3"/>
        <v>418026.75347859471</v>
      </c>
      <c r="S40" s="12">
        <f t="shared" si="4"/>
        <v>117613056.58165401</v>
      </c>
      <c r="T40" s="12"/>
      <c r="U40" t="b">
        <f t="shared" si="5"/>
        <v>0</v>
      </c>
      <c r="V40" s="12">
        <f>IF($U40=TRUE, $Q40*$C$7, $J40)</f>
        <v>39952437.5743163</v>
      </c>
      <c r="W40" s="12">
        <f>IF($U40=TRUE, $Q40*$C$8, $K40)</f>
        <v>19363464.765100665</v>
      </c>
      <c r="X40" s="12">
        <f>IF($U40=TRUE, $Q40*$C$9, $L40)</f>
        <v>7327718.8464953071</v>
      </c>
      <c r="Y40" s="12">
        <f>IF($U40=TRUE, $Q40*$C$10, $M40)</f>
        <v>19385869.025141604</v>
      </c>
      <c r="Z40" s="12">
        <f>IF($U40=TRUE, $Q40*$C$11, $N40)</f>
        <v>10534532.160853673</v>
      </c>
      <c r="AA40" s="12">
        <f>IF($U40=TRUE, $Q40*$C$12, $O40)</f>
        <v>9840417.3699555025</v>
      </c>
      <c r="AB40" s="12">
        <f>IF($U40=TRUE, $Q40*$C$13, $P40)</f>
        <v>11626643.593269566</v>
      </c>
      <c r="AC40" s="12">
        <f>V40-(1-$B$3)</f>
        <v>39952436.577857964</v>
      </c>
      <c r="AD40" s="12">
        <f t="shared" si="6"/>
        <v>19294885.827390935</v>
      </c>
      <c r="AE40" s="12">
        <f t="shared" si="7"/>
        <v>7301766.5089139696</v>
      </c>
      <c r="AF40" s="12">
        <f t="shared" si="8"/>
        <v>19317210.739010893</v>
      </c>
      <c r="AG40" s="12">
        <f t="shared" si="9"/>
        <v>10497222.359450649</v>
      </c>
      <c r="AH40" s="12">
        <f t="shared" si="10"/>
        <v>9805565.8917702436</v>
      </c>
      <c r="AI40" s="12">
        <f t="shared" si="11"/>
        <v>11585465.897210069</v>
      </c>
      <c r="AJ40" s="12">
        <f t="shared" si="12"/>
        <v>117754553.80160472</v>
      </c>
      <c r="AK40" s="12" t="b">
        <f t="shared" si="13"/>
        <v>1</v>
      </c>
    </row>
    <row r="41" spans="1:37" x14ac:dyDescent="0.2">
      <c r="A41" s="1">
        <f>Returns!A28</f>
        <v>43220</v>
      </c>
      <c r="B41" s="20">
        <f t="shared" si="14"/>
        <v>117613056.58165401</v>
      </c>
      <c r="C41" s="18">
        <f t="shared" si="15"/>
        <v>0.33968638696271891</v>
      </c>
      <c r="D41" s="18">
        <f t="shared" si="17"/>
        <v>0.16627261977041094</v>
      </c>
      <c r="E41" s="18">
        <f t="shared" si="17"/>
        <v>6.0239234702086468E-2</v>
      </c>
      <c r="F41" s="18">
        <f t="shared" si="17"/>
        <v>0.16186886104644654</v>
      </c>
      <c r="G41" s="18">
        <f t="shared" si="17"/>
        <v>8.7675200893718691E-2</v>
      </c>
      <c r="H41" s="18">
        <f t="shared" si="16"/>
        <v>8.3929123106119663E-2</v>
      </c>
      <c r="I41" s="18">
        <f t="shared" si="16"/>
        <v>0.10032857351849878</v>
      </c>
      <c r="J41" s="12">
        <f>J40*(1+Returns!B28)</f>
        <v>40156276.541532204</v>
      </c>
      <c r="K41" s="12">
        <f>K40*(1+Returns!C28)</f>
        <v>19656040.268456373</v>
      </c>
      <c r="L41" s="12">
        <f>L40*(1+Returns!D28)</f>
        <v>7121225.5191513887</v>
      </c>
      <c r="M41" s="12">
        <f>M40*(1+Returns!E28)</f>
        <v>19135446.685878959</v>
      </c>
      <c r="N41" s="12">
        <f>N40*(1+Returns!F28)</f>
        <v>10364588.479399271</v>
      </c>
      <c r="O41" s="12">
        <f>O40*(1+Returns!G28)</f>
        <v>9921743.1333435643</v>
      </c>
      <c r="P41" s="12">
        <f>P40*(1+Returns!H28)</f>
        <v>11860416.24820382</v>
      </c>
      <c r="Q41" s="12">
        <f t="shared" si="2"/>
        <v>118215736.87596558</v>
      </c>
      <c r="R41" s="12">
        <f t="shared" si="3"/>
        <v>418680.73476904479</v>
      </c>
      <c r="S41" s="12">
        <f t="shared" si="4"/>
        <v>117797056.14119653</v>
      </c>
      <c r="T41" s="12"/>
      <c r="U41" t="b">
        <f t="shared" si="5"/>
        <v>0</v>
      </c>
      <c r="V41" s="12">
        <f>IF($U41=TRUE, $Q41*$C$7, $J41)</f>
        <v>40156276.541532204</v>
      </c>
      <c r="W41" s="12">
        <f>IF($U41=TRUE, $Q41*$C$8, $K41)</f>
        <v>19656040.268456373</v>
      </c>
      <c r="X41" s="12">
        <f>IF($U41=TRUE, $Q41*$C$9, $L41)</f>
        <v>7121225.5191513887</v>
      </c>
      <c r="Y41" s="12">
        <f>IF($U41=TRUE, $Q41*$C$10, $M41)</f>
        <v>19135446.685878959</v>
      </c>
      <c r="Z41" s="12">
        <f>IF($U41=TRUE, $Q41*$C$11, $N41)</f>
        <v>10364588.479399271</v>
      </c>
      <c r="AA41" s="12">
        <f>IF($U41=TRUE, $Q41*$C$12, $O41)</f>
        <v>9921743.1333435643</v>
      </c>
      <c r="AB41" s="12">
        <f>IF($U41=TRUE, $Q41*$C$13, $P41)</f>
        <v>11860416.24820382</v>
      </c>
      <c r="AC41" s="12">
        <f>V41-(1-$B$3)</f>
        <v>40156275.545073867</v>
      </c>
      <c r="AD41" s="12">
        <f t="shared" si="6"/>
        <v>19586425.125838924</v>
      </c>
      <c r="AE41" s="12">
        <f t="shared" si="7"/>
        <v>7096004.5121043939</v>
      </c>
      <c r="AF41" s="12">
        <f t="shared" si="8"/>
        <v>19067675.312199805</v>
      </c>
      <c r="AG41" s="12">
        <f t="shared" si="9"/>
        <v>10327880.561868066</v>
      </c>
      <c r="AH41" s="12">
        <f t="shared" si="10"/>
        <v>9886603.6264129728</v>
      </c>
      <c r="AI41" s="12">
        <f t="shared" si="11"/>
        <v>11818410.607324764</v>
      </c>
      <c r="AJ41" s="12">
        <f t="shared" si="12"/>
        <v>117939275.29082279</v>
      </c>
      <c r="AK41" s="12" t="b">
        <f t="shared" si="13"/>
        <v>1</v>
      </c>
    </row>
    <row r="42" spans="1:37" x14ac:dyDescent="0.2">
      <c r="A42" s="1">
        <f>Returns!A29</f>
        <v>43251</v>
      </c>
      <c r="B42" s="20">
        <f t="shared" si="14"/>
        <v>117797056.14119653</v>
      </c>
      <c r="C42" s="18">
        <f t="shared" si="15"/>
        <v>0.34551579395946463</v>
      </c>
      <c r="D42" s="18">
        <f t="shared" si="17"/>
        <v>0.16199177105549648</v>
      </c>
      <c r="E42" s="18">
        <f t="shared" si="17"/>
        <v>5.8249443838755813E-2</v>
      </c>
      <c r="F42" s="18">
        <f t="shared" si="17"/>
        <v>0.16233977506588776</v>
      </c>
      <c r="G42" s="18">
        <f t="shared" si="17"/>
        <v>8.7535252311079767E-2</v>
      </c>
      <c r="H42" s="18">
        <f t="shared" si="16"/>
        <v>8.6409949508188699E-2</v>
      </c>
      <c r="I42" s="18">
        <f t="shared" si="16"/>
        <v>9.7958014261127005E-2</v>
      </c>
      <c r="J42" s="12">
        <f>J41*(1+Returns!B29)</f>
        <v>41133004.92610839</v>
      </c>
      <c r="K42" s="12">
        <f>K41*(1+Returns!C29)</f>
        <v>19284815.436241608</v>
      </c>
      <c r="L42" s="12">
        <f>L41*(1+Returns!D29)</f>
        <v>6934486.6493822532</v>
      </c>
      <c r="M42" s="12">
        <f>M41*(1+Returns!E29)</f>
        <v>19326244.658650495</v>
      </c>
      <c r="N42" s="12">
        <f>N41*(1+Returns!F29)</f>
        <v>10420907.024997532</v>
      </c>
      <c r="O42" s="12">
        <f>O41*(1+Returns!G29)</f>
        <v>10286941.844406938</v>
      </c>
      <c r="P42" s="12">
        <f>P41*(1+Returns!H29)</f>
        <v>11661717.216977481</v>
      </c>
      <c r="Q42" s="12">
        <f t="shared" si="2"/>
        <v>119048117.75676468</v>
      </c>
      <c r="R42" s="12">
        <f t="shared" si="3"/>
        <v>421628.75038854161</v>
      </c>
      <c r="S42" s="12">
        <f t="shared" si="4"/>
        <v>118626489.00637613</v>
      </c>
      <c r="T42" s="12"/>
      <c r="U42" t="b">
        <f t="shared" si="5"/>
        <v>0</v>
      </c>
      <c r="V42" s="12">
        <f>IF($U42=TRUE, $Q42*$C$7, $J42)</f>
        <v>41133004.92610839</v>
      </c>
      <c r="W42" s="12">
        <f>IF($U42=TRUE, $Q42*$C$8, $K42)</f>
        <v>19284815.436241608</v>
      </c>
      <c r="X42" s="12">
        <f>IF($U42=TRUE, $Q42*$C$9, $L42)</f>
        <v>6934486.6493822532</v>
      </c>
      <c r="Y42" s="12">
        <f>IF($U42=TRUE, $Q42*$C$10, $M42)</f>
        <v>19326244.658650495</v>
      </c>
      <c r="Z42" s="12">
        <f>IF($U42=TRUE, $Q42*$C$11, $N42)</f>
        <v>10420907.024997532</v>
      </c>
      <c r="AA42" s="12">
        <f>IF($U42=TRUE, $Q42*$C$12, $O42)</f>
        <v>10286941.844406938</v>
      </c>
      <c r="AB42" s="12">
        <f>IF($U42=TRUE, $Q42*$C$13, $P42)</f>
        <v>11661717.216977481</v>
      </c>
      <c r="AC42" s="12">
        <f>V42-(1-$B$3)</f>
        <v>41133003.929650053</v>
      </c>
      <c r="AD42" s="12">
        <f t="shared" si="6"/>
        <v>19216515.048238251</v>
      </c>
      <c r="AE42" s="12">
        <f t="shared" si="7"/>
        <v>6909927.0091656912</v>
      </c>
      <c r="AF42" s="12">
        <f t="shared" si="8"/>
        <v>19257797.542151108</v>
      </c>
      <c r="AG42" s="12">
        <f t="shared" si="9"/>
        <v>10383999.645950666</v>
      </c>
      <c r="AH42" s="12">
        <f t="shared" si="10"/>
        <v>10250508.925374664</v>
      </c>
      <c r="AI42" s="12">
        <f t="shared" si="11"/>
        <v>11620415.301834019</v>
      </c>
      <c r="AJ42" s="12">
        <f t="shared" si="12"/>
        <v>118772167.40236443</v>
      </c>
      <c r="AK42" s="12" t="b">
        <f t="shared" si="13"/>
        <v>1</v>
      </c>
    </row>
    <row r="43" spans="1:37" x14ac:dyDescent="0.2">
      <c r="A43" s="1">
        <f>Returns!A30</f>
        <v>43281</v>
      </c>
      <c r="B43" s="20">
        <f t="shared" si="14"/>
        <v>118626489.00637613</v>
      </c>
      <c r="C43" s="18">
        <f t="shared" si="15"/>
        <v>0.34690168372093838</v>
      </c>
      <c r="D43" s="18">
        <f t="shared" si="17"/>
        <v>0.15910835754985336</v>
      </c>
      <c r="E43" s="18">
        <f t="shared" si="17"/>
        <v>5.5500637025644367E-2</v>
      </c>
      <c r="F43" s="18">
        <f t="shared" si="17"/>
        <v>0.16235731964740607</v>
      </c>
      <c r="G43" s="18">
        <f t="shared" si="17"/>
        <v>8.6934924728240492E-2</v>
      </c>
      <c r="H43" s="18">
        <f t="shared" si="16"/>
        <v>8.9865984587611594E-2</v>
      </c>
      <c r="I43" s="18">
        <f t="shared" si="16"/>
        <v>9.933109274030566E-2</v>
      </c>
      <c r="J43" s="12">
        <f>J42*(1+Returns!B30)</f>
        <v>41374214.370647199</v>
      </c>
      <c r="K43" s="12">
        <f>K42*(1+Returns!C30)</f>
        <v>18976510.067114092</v>
      </c>
      <c r="L43" s="12">
        <f>L42*(1+Returns!D30)</f>
        <v>6619441.0744161196</v>
      </c>
      <c r="M43" s="12">
        <f>M42*(1+Returns!E30)</f>
        <v>19364006.757428195</v>
      </c>
      <c r="N43" s="12">
        <f>N42*(1+Returns!F30)</f>
        <v>10368540.658037746</v>
      </c>
      <c r="O43" s="12">
        <f>O42*(1+Returns!G30)</f>
        <v>10718121.835200246</v>
      </c>
      <c r="P43" s="12">
        <f>P42*(1+Returns!H30)</f>
        <v>11847004.836142821</v>
      </c>
      <c r="Q43" s="12">
        <f t="shared" si="2"/>
        <v>119267839.59898643</v>
      </c>
      <c r="R43" s="12">
        <f t="shared" si="3"/>
        <v>422406.93191307696</v>
      </c>
      <c r="S43" s="12">
        <f t="shared" si="4"/>
        <v>118845432.66707335</v>
      </c>
      <c r="T43" s="12"/>
      <c r="U43" t="b">
        <f t="shared" si="5"/>
        <v>0</v>
      </c>
      <c r="V43" s="12">
        <f>IF($U43=TRUE, $Q43*$C$7, $J43)</f>
        <v>41374214.370647199</v>
      </c>
      <c r="W43" s="12">
        <f>IF($U43=TRUE, $Q43*$C$8, $K43)</f>
        <v>18976510.067114092</v>
      </c>
      <c r="X43" s="12">
        <f>IF($U43=TRUE, $Q43*$C$9, $L43)</f>
        <v>6619441.0744161196</v>
      </c>
      <c r="Y43" s="12">
        <f>IF($U43=TRUE, $Q43*$C$10, $M43)</f>
        <v>19364006.757428195</v>
      </c>
      <c r="Z43" s="12">
        <f>IF($U43=TRUE, $Q43*$C$11, $N43)</f>
        <v>10368540.658037746</v>
      </c>
      <c r="AA43" s="12">
        <f>IF($U43=TRUE, $Q43*$C$12, $O43)</f>
        <v>10718121.835200246</v>
      </c>
      <c r="AB43" s="12">
        <f>IF($U43=TRUE, $Q43*$C$13, $P43)</f>
        <v>11847004.836142821</v>
      </c>
      <c r="AC43" s="12">
        <f>V43-(1-$B$3)</f>
        <v>41374213.374188863</v>
      </c>
      <c r="AD43" s="12">
        <f t="shared" si="6"/>
        <v>18909301.59395973</v>
      </c>
      <c r="AE43" s="12">
        <f t="shared" si="7"/>
        <v>6595997.2206108961</v>
      </c>
      <c r="AF43" s="12">
        <f t="shared" si="8"/>
        <v>19295425.900162306</v>
      </c>
      <c r="AG43" s="12">
        <f t="shared" si="9"/>
        <v>10331818.743207196</v>
      </c>
      <c r="AH43" s="12">
        <f t="shared" si="10"/>
        <v>10680161.820367245</v>
      </c>
      <c r="AI43" s="12">
        <f t="shared" si="11"/>
        <v>11805046.694014816</v>
      </c>
      <c r="AJ43" s="12">
        <f t="shared" si="12"/>
        <v>118991965.34651105</v>
      </c>
      <c r="AK43" s="12" t="b">
        <f t="shared" si="13"/>
        <v>1</v>
      </c>
    </row>
    <row r="44" spans="1:37" x14ac:dyDescent="0.2">
      <c r="A44" s="1">
        <f>Returns!A31</f>
        <v>43312</v>
      </c>
      <c r="B44" s="20">
        <f t="shared" si="14"/>
        <v>118845432.66707335</v>
      </c>
      <c r="C44" s="18">
        <f t="shared" si="15"/>
        <v>0.35198490057508874</v>
      </c>
      <c r="D44" s="18">
        <f t="shared" si="17"/>
        <v>0.16010744408100139</v>
      </c>
      <c r="E44" s="18">
        <f t="shared" si="17"/>
        <v>5.6217961082669896E-2</v>
      </c>
      <c r="F44" s="18">
        <f t="shared" si="17"/>
        <v>0.15799954623136808</v>
      </c>
      <c r="G44" s="18">
        <f t="shared" si="17"/>
        <v>8.6246949136993892E-2</v>
      </c>
      <c r="H44" s="18">
        <f t="shared" si="16"/>
        <v>8.845185711236464E-2</v>
      </c>
      <c r="I44" s="18">
        <f t="shared" si="16"/>
        <v>9.8991341780513206E-2</v>
      </c>
      <c r="J44" s="12">
        <f>J43*(1+Returns!B31)</f>
        <v>42908102.59894684</v>
      </c>
      <c r="K44" s="12">
        <f>K43*(1+Returns!C31)</f>
        <v>19517617.449664429</v>
      </c>
      <c r="L44" s="12">
        <f>L43*(1+Returns!D31)</f>
        <v>6853152.0474248463</v>
      </c>
      <c r="M44" s="12">
        <f>M43*(1+Returns!E31)</f>
        <v>19260657.855510276</v>
      </c>
      <c r="N44" s="12">
        <f>N43*(1+Returns!F31)</f>
        <v>10513783.223001683</v>
      </c>
      <c r="O44" s="12">
        <f>O43*(1+Returns!G31)</f>
        <v>10782568.666564371</v>
      </c>
      <c r="P44" s="12">
        <f>P43*(1+Returns!H31)</f>
        <v>12067366.07901608</v>
      </c>
      <c r="Q44" s="12">
        <f t="shared" si="2"/>
        <v>121903247.92012854</v>
      </c>
      <c r="R44" s="12">
        <f t="shared" si="3"/>
        <v>431740.66971712193</v>
      </c>
      <c r="S44" s="12">
        <f t="shared" si="4"/>
        <v>121471507.25041142</v>
      </c>
      <c r="T44" s="12"/>
      <c r="U44" t="b">
        <f t="shared" si="5"/>
        <v>1</v>
      </c>
      <c r="V44" s="12">
        <f>IF($U44=TRUE, $Q44*$C$7, $J44)</f>
        <v>36570974.376038559</v>
      </c>
      <c r="W44" s="12">
        <f>IF($U44=TRUE, $Q44*$C$8, $K44)</f>
        <v>18285487.188019279</v>
      </c>
      <c r="X44" s="12">
        <f>IF($U44=TRUE, $Q44*$C$9, $L44)</f>
        <v>6095162.3960064277</v>
      </c>
      <c r="Y44" s="12">
        <f>IF($U44=TRUE, $Q44*$C$10, $M44)</f>
        <v>24380649.584025711</v>
      </c>
      <c r="Z44" s="12">
        <f>IF($U44=TRUE, $Q44*$C$11, $N44)</f>
        <v>12190324.792012855</v>
      </c>
      <c r="AA44" s="12">
        <f>IF($U44=TRUE, $Q44*$C$12, $O44)</f>
        <v>12190324.792012855</v>
      </c>
      <c r="AB44" s="12">
        <f>IF($U44=TRUE, $Q44*$C$13, $P44)</f>
        <v>12190324.792012855</v>
      </c>
      <c r="AC44" s="12">
        <f>V44-(1-$B$3)</f>
        <v>36570973.379580222</v>
      </c>
      <c r="AD44" s="12">
        <f t="shared" si="6"/>
        <v>18220726.087561712</v>
      </c>
      <c r="AE44" s="12">
        <f t="shared" si="7"/>
        <v>6073575.3625205718</v>
      </c>
      <c r="AF44" s="12">
        <f t="shared" si="8"/>
        <v>24294301.450082287</v>
      </c>
      <c r="AG44" s="12">
        <f t="shared" si="9"/>
        <v>12147150.725041144</v>
      </c>
      <c r="AH44" s="12">
        <f t="shared" si="10"/>
        <v>12147150.725041144</v>
      </c>
      <c r="AI44" s="12">
        <f t="shared" si="11"/>
        <v>12147150.725041144</v>
      </c>
      <c r="AJ44" s="12">
        <f t="shared" si="12"/>
        <v>121601028.45486823</v>
      </c>
      <c r="AK44" s="12" t="b">
        <f t="shared" si="13"/>
        <v>1</v>
      </c>
    </row>
    <row r="45" spans="1:37" x14ac:dyDescent="0.2">
      <c r="A45" s="1">
        <f>Returns!A32</f>
        <v>43343</v>
      </c>
      <c r="B45" s="20">
        <f t="shared" si="14"/>
        <v>121471507.25041142</v>
      </c>
      <c r="C45" s="18">
        <f t="shared" si="15"/>
        <v>0.36070047399838961</v>
      </c>
      <c r="D45" s="18">
        <f t="shared" si="17"/>
        <v>0.15547375944249883</v>
      </c>
      <c r="E45" s="18">
        <f t="shared" si="17"/>
        <v>5.3727114830432736E-2</v>
      </c>
      <c r="F45" s="18">
        <f t="shared" si="17"/>
        <v>0.15855268817404961</v>
      </c>
      <c r="G45" s="18">
        <f t="shared" si="17"/>
        <v>8.566422922273817E-2</v>
      </c>
      <c r="H45" s="18">
        <f t="shared" si="16"/>
        <v>9.0108703048074584E-2</v>
      </c>
      <c r="I45" s="18">
        <f t="shared" si="16"/>
        <v>9.5773031283816437E-2</v>
      </c>
      <c r="J45" s="12">
        <f>J44*(1+Returns!B32)</f>
        <v>44273823.679293364</v>
      </c>
      <c r="K45" s="12">
        <f>K44*(1+Returns!C32)</f>
        <v>19083473.154362414</v>
      </c>
      <c r="L45" s="12">
        <f>L44*(1+Returns!D32)</f>
        <v>6594681.6826482648</v>
      </c>
      <c r="M45" s="12">
        <f>M44*(1+Returns!E32)</f>
        <v>19461393.222697001</v>
      </c>
      <c r="N45" s="12">
        <f>N44*(1+Returns!F32)</f>
        <v>10514771.267661303</v>
      </c>
      <c r="O45" s="12">
        <f>O44*(1+Returns!G32)</f>
        <v>11060303.820776433</v>
      </c>
      <c r="P45" s="12">
        <f>P44*(1+Returns!H32)</f>
        <v>11755566.199533377</v>
      </c>
      <c r="Q45" s="12">
        <f t="shared" si="2"/>
        <v>122744013.02697216</v>
      </c>
      <c r="R45" s="12">
        <f t="shared" si="3"/>
        <v>434718.37947052642</v>
      </c>
      <c r="S45" s="12">
        <f t="shared" si="4"/>
        <v>122309294.64750163</v>
      </c>
      <c r="T45" s="12"/>
      <c r="U45" t="b">
        <f t="shared" si="5"/>
        <v>1</v>
      </c>
      <c r="V45" s="12">
        <f>IF($U45=TRUE, $Q45*$C$7, $J45)</f>
        <v>36823203.908091649</v>
      </c>
      <c r="W45" s="12">
        <f>IF($U45=TRUE, $Q45*$C$8, $K45)</f>
        <v>18411601.954045825</v>
      </c>
      <c r="X45" s="12">
        <f>IF($U45=TRUE, $Q45*$C$9, $L45)</f>
        <v>6137200.6513486085</v>
      </c>
      <c r="Y45" s="12">
        <f>IF($U45=TRUE, $Q45*$C$10, $M45)</f>
        <v>24548802.605394434</v>
      </c>
      <c r="Z45" s="12">
        <f>IF($U45=TRUE, $Q45*$C$11, $N45)</f>
        <v>12274401.302697217</v>
      </c>
      <c r="AA45" s="12">
        <f>IF($U45=TRUE, $Q45*$C$12, $O45)</f>
        <v>12274401.302697217</v>
      </c>
      <c r="AB45" s="12">
        <f>IF($U45=TRUE, $Q45*$C$13, $P45)</f>
        <v>12274401.302697217</v>
      </c>
      <c r="AC45" s="12">
        <f>V45-(1-$B$3)</f>
        <v>36823202.911633313</v>
      </c>
      <c r="AD45" s="12">
        <f t="shared" si="6"/>
        <v>18346394.197125245</v>
      </c>
      <c r="AE45" s="12">
        <f t="shared" si="7"/>
        <v>6115464.7323750826</v>
      </c>
      <c r="AF45" s="12">
        <f t="shared" si="8"/>
        <v>24461858.92950033</v>
      </c>
      <c r="AG45" s="12">
        <f t="shared" si="9"/>
        <v>12230929.464750165</v>
      </c>
      <c r="AH45" s="12">
        <f t="shared" si="10"/>
        <v>12230929.464750165</v>
      </c>
      <c r="AI45" s="12">
        <f t="shared" si="11"/>
        <v>12230929.464750165</v>
      </c>
      <c r="AJ45" s="12">
        <f t="shared" si="12"/>
        <v>122439709.16488448</v>
      </c>
      <c r="AK45" s="12" t="b">
        <f t="shared" si="13"/>
        <v>1</v>
      </c>
    </row>
    <row r="46" spans="1:37" x14ac:dyDescent="0.2">
      <c r="A46" s="1">
        <f>Returns!A33</f>
        <v>43373</v>
      </c>
      <c r="B46" s="20">
        <f t="shared" si="14"/>
        <v>122309294.64750163</v>
      </c>
      <c r="C46" s="18">
        <f t="shared" si="15"/>
        <v>0.36368297914008746</v>
      </c>
      <c r="D46" s="18">
        <f t="shared" si="17"/>
        <v>0.15731658808248117</v>
      </c>
      <c r="E46" s="18">
        <f t="shared" si="17"/>
        <v>5.353829478548805E-2</v>
      </c>
      <c r="F46" s="18">
        <f t="shared" si="17"/>
        <v>0.15694888353843628</v>
      </c>
      <c r="G46" s="18">
        <f t="shared" si="17"/>
        <v>8.5737650880286426E-2</v>
      </c>
      <c r="H46" s="18">
        <f t="shared" si="16"/>
        <v>8.7907551502366746E-2</v>
      </c>
      <c r="I46" s="18">
        <f t="shared" si="16"/>
        <v>9.4868052070853845E-2</v>
      </c>
      <c r="J46" s="12">
        <f>J45*(1+Returns!B33)</f>
        <v>44538814.336674027</v>
      </c>
      <c r="K46" s="12">
        <f>K45*(1+Returns!C33)</f>
        <v>19265939.597315434</v>
      </c>
      <c r="L46" s="12">
        <f>L45*(1+Returns!D33)</f>
        <v>6556622.9604451042</v>
      </c>
      <c r="M46" s="12">
        <f>M45*(1+Returns!E33)</f>
        <v>19220908.277849536</v>
      </c>
      <c r="N46" s="12">
        <f>N45*(1+Returns!F33)</f>
        <v>10499950.597767023</v>
      </c>
      <c r="O46" s="12">
        <f>O45*(1+Returns!G33)</f>
        <v>10765689.734540435</v>
      </c>
      <c r="P46" s="12">
        <f>P45*(1+Returns!H33)</f>
        <v>11618114.676843679</v>
      </c>
      <c r="Q46" s="12">
        <f t="shared" si="2"/>
        <v>122466040.18143524</v>
      </c>
      <c r="R46" s="12">
        <f t="shared" si="3"/>
        <v>433733.89230924984</v>
      </c>
      <c r="S46" s="12">
        <f t="shared" si="4"/>
        <v>122032306.28912599</v>
      </c>
      <c r="T46" s="12"/>
      <c r="U46" t="b">
        <f t="shared" si="5"/>
        <v>1</v>
      </c>
      <c r="V46" s="12">
        <f>IF($U46=TRUE, $Q46*$C$7, $J46)</f>
        <v>36739812.054430574</v>
      </c>
      <c r="W46" s="12">
        <f>IF($U46=TRUE, $Q46*$C$8, $K46)</f>
        <v>18369906.027215287</v>
      </c>
      <c r="X46" s="12">
        <f>IF($U46=TRUE, $Q46*$C$9, $L46)</f>
        <v>6123302.0090717627</v>
      </c>
      <c r="Y46" s="12">
        <f>IF($U46=TRUE, $Q46*$C$10, $M46)</f>
        <v>24493208.036287051</v>
      </c>
      <c r="Z46" s="12">
        <f>IF($U46=TRUE, $Q46*$C$11, $N46)</f>
        <v>12246604.018143525</v>
      </c>
      <c r="AA46" s="12">
        <f>IF($U46=TRUE, $Q46*$C$12, $O46)</f>
        <v>12246604.018143525</v>
      </c>
      <c r="AB46" s="12">
        <f>IF($U46=TRUE, $Q46*$C$13, $P46)</f>
        <v>12246604.018143525</v>
      </c>
      <c r="AC46" s="12">
        <f>V46-(1-$B$3)</f>
        <v>36739811.057972237</v>
      </c>
      <c r="AD46" s="12">
        <f t="shared" si="6"/>
        <v>18304845.943368901</v>
      </c>
      <c r="AE46" s="12">
        <f t="shared" si="7"/>
        <v>6101615.3144562999</v>
      </c>
      <c r="AF46" s="12">
        <f t="shared" si="8"/>
        <v>24406461.2578252</v>
      </c>
      <c r="AG46" s="12">
        <f t="shared" si="9"/>
        <v>12203230.6289126</v>
      </c>
      <c r="AH46" s="12">
        <f t="shared" si="10"/>
        <v>12203230.6289126</v>
      </c>
      <c r="AI46" s="12">
        <f t="shared" si="11"/>
        <v>12203230.6289126</v>
      </c>
      <c r="AJ46" s="12">
        <f t="shared" si="12"/>
        <v>122162425.46036042</v>
      </c>
      <c r="AK46" s="12" t="b">
        <f t="shared" si="13"/>
        <v>1</v>
      </c>
    </row>
    <row r="47" spans="1:37" x14ac:dyDescent="0.2">
      <c r="A47" s="1">
        <f>Returns!A34</f>
        <v>43404</v>
      </c>
      <c r="B47" s="20">
        <f t="shared" si="14"/>
        <v>122032306.28912599</v>
      </c>
      <c r="C47" s="18">
        <f t="shared" si="15"/>
        <v>0.3567209566349609</v>
      </c>
      <c r="D47" s="18">
        <f t="shared" si="17"/>
        <v>0.15228081951209346</v>
      </c>
      <c r="E47" s="18">
        <f t="shared" si="17"/>
        <v>5.1469106166868492E-2</v>
      </c>
      <c r="F47" s="18">
        <f t="shared" si="17"/>
        <v>0.16489411453906974</v>
      </c>
      <c r="G47" s="18">
        <f t="shared" si="17"/>
        <v>8.8460799852003891E-2</v>
      </c>
      <c r="H47" s="18">
        <f t="shared" si="16"/>
        <v>8.9919446405989187E-2</v>
      </c>
      <c r="I47" s="18">
        <f t="shared" si="16"/>
        <v>9.6254756889014317E-2</v>
      </c>
      <c r="J47" s="12">
        <f>J46*(1+Returns!B34)</f>
        <v>41460845.931713946</v>
      </c>
      <c r="K47" s="12">
        <f>K46*(1+Returns!C34)</f>
        <v>17699244.96644295</v>
      </c>
      <c r="L47" s="12">
        <f>L46*(1+Returns!D34)</f>
        <v>5982134.3303115088</v>
      </c>
      <c r="M47" s="12">
        <f>M46*(1+Returns!E34)</f>
        <v>19165258.869124506</v>
      </c>
      <c r="N47" s="12">
        <f>N46*(1+Returns!F34)</f>
        <v>10281592.727991309</v>
      </c>
      <c r="O47" s="12">
        <f>O46*(1+Returns!G34)</f>
        <v>10451127.819548873</v>
      </c>
      <c r="P47" s="12">
        <f>P46*(1+Returns!H34)</f>
        <v>11187466.201078471</v>
      </c>
      <c r="Q47" s="12">
        <f t="shared" si="2"/>
        <v>116227670.84621157</v>
      </c>
      <c r="R47" s="12">
        <f t="shared" si="3"/>
        <v>411639.66758033267</v>
      </c>
      <c r="S47" s="12">
        <f t="shared" si="4"/>
        <v>115816031.17863123</v>
      </c>
      <c r="T47" s="12"/>
      <c r="U47" t="b">
        <f t="shared" si="5"/>
        <v>1</v>
      </c>
      <c r="V47" s="12">
        <f>IF($U47=TRUE, $Q47*$C$7, $J47)</f>
        <v>34868301.253863469</v>
      </c>
      <c r="W47" s="12">
        <f>IF($U47=TRUE, $Q47*$C$8, $K47)</f>
        <v>17434150.626931734</v>
      </c>
      <c r="X47" s="12">
        <f>IF($U47=TRUE, $Q47*$C$9, $L47)</f>
        <v>5811383.5423105787</v>
      </c>
      <c r="Y47" s="12">
        <f>IF($U47=TRUE, $Q47*$C$10, $M47)</f>
        <v>23245534.169242315</v>
      </c>
      <c r="Z47" s="12">
        <f>IF($U47=TRUE, $Q47*$C$11, $N47)</f>
        <v>11622767.084621157</v>
      </c>
      <c r="AA47" s="12">
        <f>IF($U47=TRUE, $Q47*$C$12, $O47)</f>
        <v>11622767.084621157</v>
      </c>
      <c r="AB47" s="12">
        <f>IF($U47=TRUE, $Q47*$C$13, $P47)</f>
        <v>11622767.084621157</v>
      </c>
      <c r="AC47" s="12">
        <f>V47-(1-$B$3)</f>
        <v>34868300.257405132</v>
      </c>
      <c r="AD47" s="12">
        <f t="shared" si="6"/>
        <v>17372404.676794685</v>
      </c>
      <c r="AE47" s="12">
        <f t="shared" si="7"/>
        <v>5790801.5589315621</v>
      </c>
      <c r="AF47" s="12">
        <f t="shared" si="8"/>
        <v>23163206.235726248</v>
      </c>
      <c r="AG47" s="12">
        <f t="shared" si="9"/>
        <v>11581603.117863124</v>
      </c>
      <c r="AH47" s="12">
        <f t="shared" si="10"/>
        <v>11581603.117863124</v>
      </c>
      <c r="AI47" s="12">
        <f t="shared" si="11"/>
        <v>11581603.117863124</v>
      </c>
      <c r="AJ47" s="12">
        <f t="shared" si="12"/>
        <v>115939522.08244698</v>
      </c>
      <c r="AK47" s="12" t="b">
        <f t="shared" si="13"/>
        <v>1</v>
      </c>
    </row>
    <row r="48" spans="1:37" x14ac:dyDescent="0.2">
      <c r="A48" s="1">
        <f>Returns!A35</f>
        <v>43434</v>
      </c>
      <c r="B48" s="20">
        <f t="shared" si="14"/>
        <v>115816031.17863123</v>
      </c>
      <c r="C48" s="18">
        <f t="shared" si="15"/>
        <v>0.35694922975952748</v>
      </c>
      <c r="D48" s="18">
        <f t="shared" si="17"/>
        <v>0.15035838319696562</v>
      </c>
      <c r="E48" s="18">
        <f t="shared" si="17"/>
        <v>5.3048407662524742E-2</v>
      </c>
      <c r="F48" s="18">
        <f t="shared" si="17"/>
        <v>0.16417340735735725</v>
      </c>
      <c r="G48" s="18">
        <f t="shared" si="17"/>
        <v>8.6610822351423547E-2</v>
      </c>
      <c r="H48" s="18">
        <f t="shared" si="16"/>
        <v>9.2469332862552975E-2</v>
      </c>
      <c r="I48" s="18">
        <f t="shared" si="16"/>
        <v>9.6390416809648327E-2</v>
      </c>
      <c r="J48" s="12">
        <f>J47*(1+Returns!B35)</f>
        <v>42226940.716833703</v>
      </c>
      <c r="K48" s="12">
        <f>K47*(1+Returns!C35)</f>
        <v>17787332.214765098</v>
      </c>
      <c r="L48" s="12">
        <f>L47*(1+Returns!D35)</f>
        <v>6275603.8638799395</v>
      </c>
      <c r="M48" s="12">
        <f>M47*(1+Returns!E35)</f>
        <v>19421643.645036258</v>
      </c>
      <c r="N48" s="12">
        <f>N47*(1+Returns!F35)</f>
        <v>10246023.120245039</v>
      </c>
      <c r="O48" s="12">
        <f>O47*(1+Returns!G35)</f>
        <v>10939082.399877246</v>
      </c>
      <c r="P48" s="12">
        <f>P47*(1+Returns!H35)</f>
        <v>11402944.948316615</v>
      </c>
      <c r="Q48" s="12">
        <f t="shared" si="2"/>
        <v>118299570.90895391</v>
      </c>
      <c r="R48" s="12">
        <f t="shared" si="3"/>
        <v>418977.64696921175</v>
      </c>
      <c r="S48" s="12">
        <f t="shared" si="4"/>
        <v>117880593.26198469</v>
      </c>
      <c r="T48" s="12"/>
      <c r="U48" t="b">
        <f t="shared" si="5"/>
        <v>1</v>
      </c>
      <c r="V48" s="12">
        <f>IF($U48=TRUE, $Q48*$C$7, $J48)</f>
        <v>35489871.272686169</v>
      </c>
      <c r="W48" s="12">
        <f>IF($U48=TRUE, $Q48*$C$8, $K48)</f>
        <v>17744935.636343084</v>
      </c>
      <c r="X48" s="12">
        <f>IF($U48=TRUE, $Q48*$C$9, $L48)</f>
        <v>5914978.545447696</v>
      </c>
      <c r="Y48" s="12">
        <f>IF($U48=TRUE, $Q48*$C$10, $M48)</f>
        <v>23659914.181790784</v>
      </c>
      <c r="Z48" s="12">
        <f>IF($U48=TRUE, $Q48*$C$11, $N48)</f>
        <v>11829957.090895392</v>
      </c>
      <c r="AA48" s="12">
        <f>IF($U48=TRUE, $Q48*$C$12, $O48)</f>
        <v>11829957.090895392</v>
      </c>
      <c r="AB48" s="12">
        <f>IF($U48=TRUE, $Q48*$C$13, $P48)</f>
        <v>11829957.090895392</v>
      </c>
      <c r="AC48" s="12">
        <f>V48-(1-$B$3)</f>
        <v>35489870.276227832</v>
      </c>
      <c r="AD48" s="12">
        <f t="shared" si="6"/>
        <v>17682088.989297703</v>
      </c>
      <c r="AE48" s="12">
        <f t="shared" si="7"/>
        <v>5894029.6630992359</v>
      </c>
      <c r="AF48" s="12">
        <f t="shared" si="8"/>
        <v>23576118.652396943</v>
      </c>
      <c r="AG48" s="12">
        <f t="shared" si="9"/>
        <v>11788059.326198472</v>
      </c>
      <c r="AH48" s="12">
        <f t="shared" si="10"/>
        <v>11788059.326198472</v>
      </c>
      <c r="AI48" s="12">
        <f t="shared" si="11"/>
        <v>11788059.326198472</v>
      </c>
      <c r="AJ48" s="12">
        <f t="shared" si="12"/>
        <v>118006285.55961713</v>
      </c>
      <c r="AK48" s="12" t="b">
        <f t="shared" si="13"/>
        <v>1</v>
      </c>
    </row>
    <row r="49" spans="1:37" x14ac:dyDescent="0.2">
      <c r="A49" s="1">
        <f>Returns!A36</f>
        <v>43465</v>
      </c>
      <c r="B49" s="20">
        <f t="shared" si="14"/>
        <v>117880593.26198469</v>
      </c>
      <c r="C49" s="18">
        <f t="shared" si="15"/>
        <v>0.34103963429666501</v>
      </c>
      <c r="D49" s="18">
        <f t="shared" si="17"/>
        <v>0.14911402277862804</v>
      </c>
      <c r="E49" s="18">
        <f t="shared" si="17"/>
        <v>5.3633192384360352E-2</v>
      </c>
      <c r="F49" s="18">
        <f t="shared" si="17"/>
        <v>0.17675434953689459</v>
      </c>
      <c r="G49" s="18">
        <f t="shared" si="17"/>
        <v>9.2429632131423689E-2</v>
      </c>
      <c r="H49" s="18">
        <f t="shared" si="16"/>
        <v>8.9173512716864467E-2</v>
      </c>
      <c r="I49" s="18">
        <f t="shared" si="16"/>
        <v>9.7855656155163895E-2</v>
      </c>
      <c r="J49" s="12">
        <f>J48*(1+Returns!B36)</f>
        <v>38508578.223203667</v>
      </c>
      <c r="K49" s="12">
        <f>K48*(1+Returns!C36)</f>
        <v>16837248.322147649</v>
      </c>
      <c r="L49" s="12">
        <f>L48*(1+Returns!D36)</f>
        <v>6056005.7441788912</v>
      </c>
      <c r="M49" s="12">
        <f>M48*(1+Returns!E36)</f>
        <v>19958262.943456214</v>
      </c>
      <c r="N49" s="12">
        <f>N48*(1+Returns!F36)</f>
        <v>10436715.739551432</v>
      </c>
      <c r="O49" s="12">
        <f>O48*(1+Returns!G36)</f>
        <v>10069050.176461564</v>
      </c>
      <c r="P49" s="12">
        <f>P48*(1+Returns!H36)</f>
        <v>11049396.640966605</v>
      </c>
      <c r="Q49" s="12">
        <f t="shared" si="2"/>
        <v>112915257.78996602</v>
      </c>
      <c r="R49" s="12">
        <f t="shared" si="3"/>
        <v>399908.20467279636</v>
      </c>
      <c r="S49" s="12">
        <f t="shared" si="4"/>
        <v>112515349.58529322</v>
      </c>
      <c r="T49" s="12"/>
      <c r="U49" t="b">
        <f t="shared" si="5"/>
        <v>0</v>
      </c>
      <c r="V49" s="12">
        <f>IF($U49=TRUE, $Q49*$C$7, $J49)</f>
        <v>38508578.223203667</v>
      </c>
      <c r="W49" s="12">
        <f>IF($U49=TRUE, $Q49*$C$8, $K49)</f>
        <v>16837248.322147649</v>
      </c>
      <c r="X49" s="12">
        <f>IF($U49=TRUE, $Q49*$C$9, $L49)</f>
        <v>6056005.7441788912</v>
      </c>
      <c r="Y49" s="12">
        <f>IF($U49=TRUE, $Q49*$C$10, $M49)</f>
        <v>19958262.943456214</v>
      </c>
      <c r="Z49" s="12">
        <f>IF($U49=TRUE, $Q49*$C$11, $N49)</f>
        <v>10436715.739551432</v>
      </c>
      <c r="AA49" s="12">
        <f>IF($U49=TRUE, $Q49*$C$12, $O49)</f>
        <v>10069050.176461564</v>
      </c>
      <c r="AB49" s="12">
        <f>IF($U49=TRUE, $Q49*$C$13, $P49)</f>
        <v>11049396.640966605</v>
      </c>
      <c r="AC49" s="12">
        <f>V49-(1-$B$3)</f>
        <v>38508577.22674533</v>
      </c>
      <c r="AD49" s="12">
        <f t="shared" si="6"/>
        <v>16777616.40100671</v>
      </c>
      <c r="AE49" s="12">
        <f t="shared" si="7"/>
        <v>6034557.3905015914</v>
      </c>
      <c r="AF49" s="12">
        <f t="shared" si="8"/>
        <v>19887577.428864807</v>
      </c>
      <c r="AG49" s="12">
        <f t="shared" si="9"/>
        <v>10399752.371307189</v>
      </c>
      <c r="AH49" s="12">
        <f t="shared" si="10"/>
        <v>10033388.957086597</v>
      </c>
      <c r="AI49" s="12">
        <f t="shared" si="11"/>
        <v>11010263.361196516</v>
      </c>
      <c r="AJ49" s="12">
        <f t="shared" si="12"/>
        <v>112651733.13670874</v>
      </c>
      <c r="AK49" s="12" t="b">
        <f t="shared" si="13"/>
        <v>1</v>
      </c>
    </row>
    <row r="50" spans="1:37" x14ac:dyDescent="0.2">
      <c r="A50" s="1">
        <f>Returns!A37</f>
        <v>43496</v>
      </c>
      <c r="B50" s="20">
        <f t="shared" si="14"/>
        <v>112515349.58529322</v>
      </c>
      <c r="C50" s="18">
        <f t="shared" si="15"/>
        <v>0.34556439009772172</v>
      </c>
      <c r="D50" s="18">
        <f t="shared" si="17"/>
        <v>0.14917757139016682</v>
      </c>
      <c r="E50" s="18">
        <f t="shared" si="17"/>
        <v>5.5522148498426675E-2</v>
      </c>
      <c r="F50" s="18">
        <f t="shared" si="17"/>
        <v>0.16692001071260726</v>
      </c>
      <c r="G50" s="18">
        <f t="shared" si="17"/>
        <v>8.9639636928184677E-2</v>
      </c>
      <c r="H50" s="18">
        <f t="shared" si="16"/>
        <v>9.3581281175572573E-2</v>
      </c>
      <c r="I50" s="18">
        <f t="shared" si="16"/>
        <v>9.9594961197320295E-2</v>
      </c>
      <c r="J50" s="12">
        <f>J49*(1+Returns!B37)</f>
        <v>41589943.944284014</v>
      </c>
      <c r="K50" s="12">
        <f>K49*(1+Returns!C37)</f>
        <v>17954068.791946307</v>
      </c>
      <c r="L50" s="12">
        <f>L49*(1+Returns!D37)</f>
        <v>6682294.5589468079</v>
      </c>
      <c r="M50" s="12">
        <f>M49*(1+Returns!E37)</f>
        <v>20089436.549736645</v>
      </c>
      <c r="N50" s="12">
        <f>N49*(1+Returns!F37)</f>
        <v>10788459.638375659</v>
      </c>
      <c r="O50" s="12">
        <f>O49*(1+Returns!G37)</f>
        <v>11262851.005063683</v>
      </c>
      <c r="P50" s="12">
        <f>P49*(1+Returns!H37)</f>
        <v>11986619.489810102</v>
      </c>
      <c r="Q50" s="12">
        <f t="shared" si="2"/>
        <v>120353673.97816321</v>
      </c>
      <c r="R50" s="12">
        <f t="shared" si="3"/>
        <v>426252.59533932805</v>
      </c>
      <c r="S50" s="12">
        <f t="shared" si="4"/>
        <v>119927421.38282388</v>
      </c>
      <c r="T50" s="12"/>
      <c r="U50" t="b">
        <f t="shared" si="5"/>
        <v>0</v>
      </c>
      <c r="V50" s="12">
        <f>IF($U50=TRUE, $Q50*$C$7, $J50)</f>
        <v>41589943.944284014</v>
      </c>
      <c r="W50" s="12">
        <f>IF($U50=TRUE, $Q50*$C$8, $K50)</f>
        <v>17954068.791946307</v>
      </c>
      <c r="X50" s="12">
        <f>IF($U50=TRUE, $Q50*$C$9, $L50)</f>
        <v>6682294.5589468079</v>
      </c>
      <c r="Y50" s="12">
        <f>IF($U50=TRUE, $Q50*$C$10, $M50)</f>
        <v>20089436.549736645</v>
      </c>
      <c r="Z50" s="12">
        <f>IF($U50=TRUE, $Q50*$C$11, $N50)</f>
        <v>10788459.638375659</v>
      </c>
      <c r="AA50" s="12">
        <f>IF($U50=TRUE, $Q50*$C$12, $O50)</f>
        <v>11262851.005063683</v>
      </c>
      <c r="AB50" s="12">
        <f>IF($U50=TRUE, $Q50*$C$13, $P50)</f>
        <v>11986619.489810102</v>
      </c>
      <c r="AC50" s="12">
        <f>V50-(1-$B$3)</f>
        <v>41589942.947825678</v>
      </c>
      <c r="AD50" s="12">
        <f t="shared" si="6"/>
        <v>17890481.464974832</v>
      </c>
      <c r="AE50" s="12">
        <f t="shared" si="7"/>
        <v>6658628.0990505377</v>
      </c>
      <c r="AF50" s="12">
        <f t="shared" si="8"/>
        <v>20018286.46195633</v>
      </c>
      <c r="AG50" s="12">
        <f t="shared" si="9"/>
        <v>10750250.510489745</v>
      </c>
      <c r="AH50" s="12">
        <f t="shared" si="10"/>
        <v>11222961.741087416</v>
      </c>
      <c r="AI50" s="12">
        <f t="shared" si="11"/>
        <v>11944166.879117025</v>
      </c>
      <c r="AJ50" s="12">
        <f t="shared" si="12"/>
        <v>120074718.10450156</v>
      </c>
      <c r="AK50" s="12" t="b">
        <f t="shared" si="13"/>
        <v>1</v>
      </c>
    </row>
    <row r="51" spans="1:37" x14ac:dyDescent="0.2">
      <c r="A51" s="1">
        <f>Returns!A38</f>
        <v>43524</v>
      </c>
      <c r="B51" s="20">
        <f t="shared" si="14"/>
        <v>119927421.38282388</v>
      </c>
      <c r="C51" s="18">
        <f t="shared" si="15"/>
        <v>0.35104524735566528</v>
      </c>
      <c r="D51" s="18">
        <f t="shared" si="17"/>
        <v>0.15049504967058377</v>
      </c>
      <c r="E51" s="18">
        <f t="shared" si="17"/>
        <v>5.3789310023668588E-2</v>
      </c>
      <c r="F51" s="18">
        <f t="shared" si="17"/>
        <v>0.16334441457465079</v>
      </c>
      <c r="G51" s="18">
        <f t="shared" si="17"/>
        <v>8.7996762566156392E-2</v>
      </c>
      <c r="H51" s="18">
        <f t="shared" si="16"/>
        <v>9.270824635356438E-2</v>
      </c>
      <c r="I51" s="18">
        <f t="shared" si="16"/>
        <v>0.10062096945571072</v>
      </c>
      <c r="J51" s="12">
        <f>J50*(1+Returns!B38)</f>
        <v>42943774.418209612</v>
      </c>
      <c r="K51" s="12">
        <f>K50*(1+Returns!C38)</f>
        <v>18410234.899328858</v>
      </c>
      <c r="L51" s="12">
        <f>L50*(1+Returns!D38)</f>
        <v>6580109.0120648993</v>
      </c>
      <c r="M51" s="12">
        <f>M50*(1+Returns!E38)</f>
        <v>19982112.690052658</v>
      </c>
      <c r="N51" s="12">
        <f>N50*(1+Returns!F38)</f>
        <v>10764746.566544812</v>
      </c>
      <c r="O51" s="12">
        <f>O50*(1+Returns!G38)</f>
        <v>11341107.87172012</v>
      </c>
      <c r="P51" s="12">
        <f>P50*(1+Returns!H38)</f>
        <v>12309080.514825167</v>
      </c>
      <c r="Q51" s="12">
        <f t="shared" si="2"/>
        <v>122331165.97274613</v>
      </c>
      <c r="R51" s="12">
        <f t="shared" si="3"/>
        <v>433256.21282014257</v>
      </c>
      <c r="S51" s="12">
        <f t="shared" si="4"/>
        <v>121897909.75992599</v>
      </c>
      <c r="T51" s="12"/>
      <c r="U51" t="b">
        <f t="shared" si="5"/>
        <v>1</v>
      </c>
      <c r="V51" s="12">
        <f>IF($U51=TRUE, $Q51*$C$7, $J51)</f>
        <v>36699349.791823842</v>
      </c>
      <c r="W51" s="12">
        <f>IF($U51=TRUE, $Q51*$C$8, $K51)</f>
        <v>18349674.895911921</v>
      </c>
      <c r="X51" s="12">
        <f>IF($U51=TRUE, $Q51*$C$9, $L51)</f>
        <v>6116558.2986373072</v>
      </c>
      <c r="Y51" s="12">
        <f>IF($U51=TRUE, $Q51*$C$10, $M51)</f>
        <v>24466233.194549229</v>
      </c>
      <c r="Z51" s="12">
        <f>IF($U51=TRUE, $Q51*$C$11, $N51)</f>
        <v>12233116.597274614</v>
      </c>
      <c r="AA51" s="12">
        <f>IF($U51=TRUE, $Q51*$C$12, $O51)</f>
        <v>12233116.597274614</v>
      </c>
      <c r="AB51" s="12">
        <f>IF($U51=TRUE, $Q51*$C$13, $P51)</f>
        <v>12233116.597274614</v>
      </c>
      <c r="AC51" s="12">
        <f>V51-(1-$B$3)</f>
        <v>36699348.795365505</v>
      </c>
      <c r="AD51" s="12">
        <f t="shared" si="6"/>
        <v>18284686.4639889</v>
      </c>
      <c r="AE51" s="12">
        <f t="shared" si="7"/>
        <v>6094895.4879962998</v>
      </c>
      <c r="AF51" s="12">
        <f t="shared" si="8"/>
        <v>24379581.951985199</v>
      </c>
      <c r="AG51" s="12">
        <f t="shared" si="9"/>
        <v>12189790.9759926</v>
      </c>
      <c r="AH51" s="12">
        <f t="shared" si="10"/>
        <v>12189790.9759926</v>
      </c>
      <c r="AI51" s="12">
        <f t="shared" si="11"/>
        <v>12189790.9759926</v>
      </c>
      <c r="AJ51" s="12">
        <f t="shared" si="12"/>
        <v>122027885.62731372</v>
      </c>
      <c r="AK51" s="12" t="b">
        <f t="shared" si="13"/>
        <v>1</v>
      </c>
    </row>
    <row r="52" spans="1:37" x14ac:dyDescent="0.2">
      <c r="A52" s="1">
        <f>Returns!A39</f>
        <v>43555</v>
      </c>
      <c r="B52" s="20">
        <f t="shared" si="14"/>
        <v>121897909.75992599</v>
      </c>
      <c r="C52" s="18">
        <f t="shared" si="15"/>
        <v>0.34987845904614495</v>
      </c>
      <c r="D52" s="18">
        <f t="shared" si="17"/>
        <v>0.14867745119784476</v>
      </c>
      <c r="E52" s="18">
        <f t="shared" si="17"/>
        <v>5.3258748390619406E-2</v>
      </c>
      <c r="F52" s="18">
        <f t="shared" si="17"/>
        <v>0.16424979519967983</v>
      </c>
      <c r="G52" s="18">
        <f t="shared" si="17"/>
        <v>8.8692065446804511E-2</v>
      </c>
      <c r="H52" s="18">
        <f t="shared" si="16"/>
        <v>9.4598090459505665E-2</v>
      </c>
      <c r="I52" s="18">
        <f t="shared" si="16"/>
        <v>0.1006453902594009</v>
      </c>
      <c r="J52" s="12">
        <f>J51*(1+Returns!B39)</f>
        <v>43716663.835569903</v>
      </c>
      <c r="K52" s="12">
        <f>K51*(1+Returns!C39)</f>
        <v>18576971.476510063</v>
      </c>
      <c r="L52" s="12">
        <f>L51*(1+Returns!D39)</f>
        <v>6654581.7254466442</v>
      </c>
      <c r="M52" s="12">
        <f>M51*(1+Returns!E39)</f>
        <v>20522706.946238685</v>
      </c>
      <c r="N52" s="12">
        <f>N51*(1+Returns!F39)</f>
        <v>11081908.902282389</v>
      </c>
      <c r="O52" s="12">
        <f>O51*(1+Returns!G39)</f>
        <v>11819855.761853619</v>
      </c>
      <c r="P52" s="12">
        <f>P51*(1+Returns!H39)</f>
        <v>12575454.643778676</v>
      </c>
      <c r="Q52" s="12">
        <f t="shared" si="2"/>
        <v>124948143.29167998</v>
      </c>
      <c r="R52" s="12">
        <f t="shared" si="3"/>
        <v>442524.67415803327</v>
      </c>
      <c r="S52" s="12">
        <f t="shared" si="4"/>
        <v>124505618.61752194</v>
      </c>
      <c r="T52" s="12"/>
      <c r="U52" t="b">
        <f t="shared" si="5"/>
        <v>0</v>
      </c>
      <c r="V52" s="12">
        <f>IF($U52=TRUE, $Q52*$C$7, $J52)</f>
        <v>43716663.835569903</v>
      </c>
      <c r="W52" s="12">
        <f>IF($U52=TRUE, $Q52*$C$8, $K52)</f>
        <v>18576971.476510063</v>
      </c>
      <c r="X52" s="12">
        <f>IF($U52=TRUE, $Q52*$C$9, $L52)</f>
        <v>6654581.7254466442</v>
      </c>
      <c r="Y52" s="12">
        <f>IF($U52=TRUE, $Q52*$C$10, $M52)</f>
        <v>20522706.946238685</v>
      </c>
      <c r="Z52" s="12">
        <f>IF($U52=TRUE, $Q52*$C$11, $N52)</f>
        <v>11081908.902282389</v>
      </c>
      <c r="AA52" s="12">
        <f>IF($U52=TRUE, $Q52*$C$12, $O52)</f>
        <v>11819855.761853619</v>
      </c>
      <c r="AB52" s="12">
        <f>IF($U52=TRUE, $Q52*$C$13, $P52)</f>
        <v>12575454.643778676</v>
      </c>
      <c r="AC52" s="12">
        <f>V52-(1-$B$3)</f>
        <v>43716662.839111567</v>
      </c>
      <c r="AD52" s="12">
        <f t="shared" si="6"/>
        <v>18511178.035864089</v>
      </c>
      <c r="AE52" s="12">
        <f t="shared" si="7"/>
        <v>6631013.4151690211</v>
      </c>
      <c r="AF52" s="12">
        <f t="shared" si="8"/>
        <v>20450022.359137423</v>
      </c>
      <c r="AG52" s="12">
        <f t="shared" si="9"/>
        <v>11042660.474920139</v>
      </c>
      <c r="AH52" s="12">
        <f t="shared" si="10"/>
        <v>11777993.772697054</v>
      </c>
      <c r="AI52" s="12">
        <f t="shared" si="11"/>
        <v>12530916.575248627</v>
      </c>
      <c r="AJ52" s="12">
        <f t="shared" si="12"/>
        <v>124660447.47214791</v>
      </c>
      <c r="AK52" s="12" t="b">
        <f t="shared" si="13"/>
        <v>1</v>
      </c>
    </row>
    <row r="53" spans="1:37" x14ac:dyDescent="0.2">
      <c r="A53" s="1">
        <f>Returns!A40</f>
        <v>43585</v>
      </c>
      <c r="B53" s="20">
        <f t="shared" si="14"/>
        <v>124505618.61752194</v>
      </c>
      <c r="C53" s="18">
        <f t="shared" si="15"/>
        <v>0.35675993968500669</v>
      </c>
      <c r="D53" s="18">
        <f t="shared" si="17"/>
        <v>0.14990955793068023</v>
      </c>
      <c r="E53" s="18">
        <f t="shared" si="17"/>
        <v>5.3399804491551878E-2</v>
      </c>
      <c r="F53" s="18">
        <f t="shared" si="17"/>
        <v>0.16007128321690953</v>
      </c>
      <c r="G53" s="18">
        <f t="shared" si="17"/>
        <v>8.7268987531846434E-2</v>
      </c>
      <c r="H53" s="18">
        <f t="shared" si="16"/>
        <v>9.2522786896425319E-2</v>
      </c>
      <c r="I53" s="18">
        <f t="shared" si="16"/>
        <v>0.10006764024757979</v>
      </c>
      <c r="J53" s="12">
        <f>J52*(1+Returns!B40)</f>
        <v>45505350.77288942</v>
      </c>
      <c r="K53" s="12">
        <f>K52*(1+Returns!C40)</f>
        <v>19121224.832214762</v>
      </c>
      <c r="L53" s="12">
        <f>L52*(1+Returns!D40)</f>
        <v>6811237.9342178339</v>
      </c>
      <c r="M53" s="12">
        <f>M52*(1+Returns!E40)</f>
        <v>20417370.56543773</v>
      </c>
      <c r="N53" s="12">
        <f>N52*(1+Returns!F40)</f>
        <v>11131311.13526332</v>
      </c>
      <c r="O53" s="12">
        <f>O52*(1+Returns!G40)</f>
        <v>11801442.381463867</v>
      </c>
      <c r="P53" s="12">
        <f>P52*(1+Returns!H40)</f>
        <v>12763801.548183737</v>
      </c>
      <c r="Q53" s="12">
        <f t="shared" si="2"/>
        <v>127551739.16967069</v>
      </c>
      <c r="R53" s="12">
        <f t="shared" si="3"/>
        <v>451745.74289258372</v>
      </c>
      <c r="S53" s="12">
        <f t="shared" si="4"/>
        <v>127099993.42677811</v>
      </c>
      <c r="T53" s="12"/>
      <c r="U53" t="b">
        <f t="shared" si="5"/>
        <v>1</v>
      </c>
      <c r="V53" s="12">
        <f>IF($U53=TRUE, $Q53*$C$7, $J53)</f>
        <v>38265521.750901207</v>
      </c>
      <c r="W53" s="12">
        <f>IF($U53=TRUE, $Q53*$C$8, $K53)</f>
        <v>19132760.875450604</v>
      </c>
      <c r="X53" s="12">
        <f>IF($U53=TRUE, $Q53*$C$9, $L53)</f>
        <v>6377586.9584835349</v>
      </c>
      <c r="Y53" s="12">
        <f>IF($U53=TRUE, $Q53*$C$10, $M53)</f>
        <v>25510347.833934139</v>
      </c>
      <c r="Z53" s="12">
        <f>IF($U53=TRUE, $Q53*$C$11, $N53)</f>
        <v>12755173.91696707</v>
      </c>
      <c r="AA53" s="12">
        <f>IF($U53=TRUE, $Q53*$C$12, $O53)</f>
        <v>12755173.91696707</v>
      </c>
      <c r="AB53" s="12">
        <f>IF($U53=TRUE, $Q53*$C$13, $P53)</f>
        <v>12755173.91696707</v>
      </c>
      <c r="AC53" s="12">
        <f>V53-(1-$B$3)</f>
        <v>38265520.754442871</v>
      </c>
      <c r="AD53" s="12">
        <f t="shared" si="6"/>
        <v>19064999.014016718</v>
      </c>
      <c r="AE53" s="12">
        <f t="shared" si="7"/>
        <v>6354999.6713389056</v>
      </c>
      <c r="AF53" s="12">
        <f t="shared" si="8"/>
        <v>25419998.685355622</v>
      </c>
      <c r="AG53" s="12">
        <f t="shared" si="9"/>
        <v>12709999.342677811</v>
      </c>
      <c r="AH53" s="12">
        <f t="shared" si="10"/>
        <v>12709999.342677811</v>
      </c>
      <c r="AI53" s="12">
        <f t="shared" si="11"/>
        <v>12709999.342677811</v>
      </c>
      <c r="AJ53" s="12">
        <f t="shared" si="12"/>
        <v>127235516.15318757</v>
      </c>
      <c r="AK53" s="12" t="b">
        <f t="shared" si="13"/>
        <v>1</v>
      </c>
    </row>
    <row r="54" spans="1:37" x14ac:dyDescent="0.2">
      <c r="A54" s="1">
        <f>Returns!A41</f>
        <v>43616</v>
      </c>
      <c r="B54" s="20">
        <f t="shared" si="14"/>
        <v>127099993.42677811</v>
      </c>
      <c r="C54" s="18">
        <f t="shared" si="15"/>
        <v>0.34415161611987571</v>
      </c>
      <c r="D54" s="18">
        <f t="shared" si="17"/>
        <v>0.14670073367701794</v>
      </c>
      <c r="E54" s="18">
        <f t="shared" si="17"/>
        <v>5.0991581676010186E-2</v>
      </c>
      <c r="F54" s="18">
        <f t="shared" si="17"/>
        <v>0.16995906624832838</v>
      </c>
      <c r="G54" s="18">
        <f t="shared" si="17"/>
        <v>9.1381261052574866E-2</v>
      </c>
      <c r="H54" s="18">
        <f t="shared" si="16"/>
        <v>9.5466357725085146E-2</v>
      </c>
      <c r="I54" s="18">
        <f t="shared" si="16"/>
        <v>0.10134938350110774</v>
      </c>
      <c r="J54" s="12">
        <f>J53*(1+Returns!B41)</f>
        <v>42598946.832002722</v>
      </c>
      <c r="K54" s="12">
        <f>K53*(1+Returns!C41)</f>
        <v>18158557.046979863</v>
      </c>
      <c r="L54" s="12">
        <f>L53*(1+Returns!D41)</f>
        <v>6311717.2053013416</v>
      </c>
      <c r="M54" s="12">
        <f>M53*(1+Returns!E41)</f>
        <v>21037463.976945229</v>
      </c>
      <c r="N54" s="12">
        <f>N53*(1+Returns!F41)</f>
        <v>11311135.263313908</v>
      </c>
      <c r="O54" s="12">
        <f>O53*(1+Returns!G41)</f>
        <v>11816786.865121994</v>
      </c>
      <c r="P54" s="12">
        <f>P53*(1+Returns!H41)</f>
        <v>12544985.398865897</v>
      </c>
      <c r="Q54" s="12">
        <f t="shared" si="2"/>
        <v>123779592.58853096</v>
      </c>
      <c r="R54" s="12">
        <f t="shared" si="3"/>
        <v>438386.05708438053</v>
      </c>
      <c r="S54" s="12">
        <f t="shared" si="4"/>
        <v>123341206.53144658</v>
      </c>
      <c r="T54" s="12"/>
      <c r="U54" t="b">
        <f t="shared" si="5"/>
        <v>0</v>
      </c>
      <c r="V54" s="12">
        <f>IF($U54=TRUE, $Q54*$C$7, $J54)</f>
        <v>42598946.832002722</v>
      </c>
      <c r="W54" s="12">
        <f>IF($U54=TRUE, $Q54*$C$8, $K54)</f>
        <v>18158557.046979863</v>
      </c>
      <c r="X54" s="12">
        <f>IF($U54=TRUE, $Q54*$C$9, $L54)</f>
        <v>6311717.2053013416</v>
      </c>
      <c r="Y54" s="12">
        <f>IF($U54=TRUE, $Q54*$C$10, $M54)</f>
        <v>21037463.976945229</v>
      </c>
      <c r="Z54" s="12">
        <f>IF($U54=TRUE, $Q54*$C$11, $N54)</f>
        <v>11311135.263313908</v>
      </c>
      <c r="AA54" s="12">
        <f>IF($U54=TRUE, $Q54*$C$12, $O54)</f>
        <v>11816786.865121994</v>
      </c>
      <c r="AB54" s="12">
        <f>IF($U54=TRUE, $Q54*$C$13, $P54)</f>
        <v>12544985.398865897</v>
      </c>
      <c r="AC54" s="12">
        <f>V54-(1-$B$3)</f>
        <v>42598945.835544385</v>
      </c>
      <c r="AD54" s="12">
        <f t="shared" si="6"/>
        <v>18094245.490771808</v>
      </c>
      <c r="AE54" s="12">
        <f t="shared" si="7"/>
        <v>6289363.2068658993</v>
      </c>
      <c r="AF54" s="12">
        <f t="shared" si="8"/>
        <v>20962956.292026881</v>
      </c>
      <c r="AG54" s="12">
        <f t="shared" si="9"/>
        <v>11271074.992589671</v>
      </c>
      <c r="AH54" s="12">
        <f t="shared" si="10"/>
        <v>11774935.744974688</v>
      </c>
      <c r="AI54" s="12">
        <f t="shared" si="11"/>
        <v>12500555.242244914</v>
      </c>
      <c r="AJ54" s="12">
        <f t="shared" si="12"/>
        <v>123492076.80501825</v>
      </c>
      <c r="AK54" s="12" t="b">
        <f t="shared" si="13"/>
        <v>1</v>
      </c>
    </row>
    <row r="55" spans="1:37" x14ac:dyDescent="0.2">
      <c r="A55" s="1">
        <f>Returns!A42</f>
        <v>43646</v>
      </c>
      <c r="B55" s="20">
        <f t="shared" si="14"/>
        <v>123341206.53144658</v>
      </c>
      <c r="C55" s="18">
        <f t="shared" si="15"/>
        <v>0.35142633661891159</v>
      </c>
      <c r="D55" s="18">
        <f t="shared" si="17"/>
        <v>0.1483436829824514</v>
      </c>
      <c r="E55" s="18">
        <f t="shared" si="17"/>
        <v>5.1699001171078222E-2</v>
      </c>
      <c r="F55" s="18">
        <f t="shared" si="17"/>
        <v>0.16418034077841651</v>
      </c>
      <c r="G55" s="18">
        <f t="shared" si="17"/>
        <v>9.0085758725505852E-2</v>
      </c>
      <c r="H55" s="18">
        <f t="shared" si="16"/>
        <v>9.255570120149649E-2</v>
      </c>
      <c r="I55" s="18">
        <f t="shared" si="16"/>
        <v>0.10170917852213986</v>
      </c>
      <c r="J55" s="12">
        <f>J54*(1+Returns!B42)</f>
        <v>45566502.463054188</v>
      </c>
      <c r="K55" s="12">
        <f>K54*(1+Returns!C42)</f>
        <v>19234479.865771808</v>
      </c>
      <c r="L55" s="12">
        <f>L54*(1+Returns!D42)</f>
        <v>6703375.4125091536</v>
      </c>
      <c r="M55" s="12">
        <f>M54*(1+Returns!E42)</f>
        <v>21287886.316207878</v>
      </c>
      <c r="N55" s="12">
        <f>N54*(1+Returns!F42)</f>
        <v>11680663.966011271</v>
      </c>
      <c r="O55" s="12">
        <f>O54*(1+Returns!G42)</f>
        <v>12000920.66901949</v>
      </c>
      <c r="P55" s="12">
        <f>P54*(1+Returns!H42)</f>
        <v>13187775.219789552</v>
      </c>
      <c r="Q55" s="12">
        <f t="shared" si="2"/>
        <v>129661603.91236335</v>
      </c>
      <c r="R55" s="12">
        <f t="shared" si="3"/>
        <v>459218.18052295357</v>
      </c>
      <c r="S55" s="12">
        <f t="shared" si="4"/>
        <v>129202385.7318404</v>
      </c>
      <c r="T55" s="12"/>
      <c r="U55" t="b">
        <f t="shared" si="5"/>
        <v>1</v>
      </c>
      <c r="V55" s="12">
        <f>IF($U55=TRUE, $Q55*$C$7, $J55)</f>
        <v>38898481.173709005</v>
      </c>
      <c r="W55" s="12">
        <f>IF($U55=TRUE, $Q55*$C$8, $K55)</f>
        <v>19449240.586854503</v>
      </c>
      <c r="X55" s="12">
        <f>IF($U55=TRUE, $Q55*$C$9, $L55)</f>
        <v>6483080.1956181675</v>
      </c>
      <c r="Y55" s="12">
        <f>IF($U55=TRUE, $Q55*$C$10, $M55)</f>
        <v>25932320.78247267</v>
      </c>
      <c r="Z55" s="12">
        <f>IF($U55=TRUE, $Q55*$C$11, $N55)</f>
        <v>12966160.391236335</v>
      </c>
      <c r="AA55" s="12">
        <f>IF($U55=TRUE, $Q55*$C$12, $O55)</f>
        <v>12966160.391236335</v>
      </c>
      <c r="AB55" s="12">
        <f>IF($U55=TRUE, $Q55*$C$13, $P55)</f>
        <v>12966160.391236335</v>
      </c>
      <c r="AC55" s="12">
        <f>V55-(1-$B$3)</f>
        <v>38898480.177250668</v>
      </c>
      <c r="AD55" s="12">
        <f t="shared" si="6"/>
        <v>19380357.859776061</v>
      </c>
      <c r="AE55" s="12">
        <f t="shared" si="7"/>
        <v>6460119.2865920197</v>
      </c>
      <c r="AF55" s="12">
        <f t="shared" si="8"/>
        <v>25840477.146368079</v>
      </c>
      <c r="AG55" s="12">
        <f t="shared" si="9"/>
        <v>12920238.573184039</v>
      </c>
      <c r="AH55" s="12">
        <f t="shared" si="10"/>
        <v>12920238.573184039</v>
      </c>
      <c r="AI55" s="12">
        <f t="shared" si="11"/>
        <v>12920238.573184039</v>
      </c>
      <c r="AJ55" s="12">
        <f t="shared" si="12"/>
        <v>129340150.18953896</v>
      </c>
      <c r="AK55" s="12" t="b">
        <f t="shared" si="13"/>
        <v>1</v>
      </c>
    </row>
    <row r="56" spans="1:37" x14ac:dyDescent="0.2">
      <c r="A56" s="1">
        <f>Returns!A43</f>
        <v>43677</v>
      </c>
      <c r="B56" s="20">
        <f t="shared" si="14"/>
        <v>129202385.7318404</v>
      </c>
      <c r="C56" s="18">
        <f t="shared" si="15"/>
        <v>0.35642990474726993</v>
      </c>
      <c r="D56" s="18">
        <f t="shared" si="17"/>
        <v>0.14533850151880517</v>
      </c>
      <c r="E56" s="18">
        <f t="shared" si="17"/>
        <v>5.0285526520647945E-2</v>
      </c>
      <c r="F56" s="18">
        <f t="shared" si="17"/>
        <v>0.1641085381106959</v>
      </c>
      <c r="G56" s="18">
        <f t="shared" si="17"/>
        <v>9.0233551624333122E-2</v>
      </c>
      <c r="H56" s="18">
        <f t="shared" si="16"/>
        <v>9.4065190943647917E-2</v>
      </c>
      <c r="I56" s="18">
        <f t="shared" si="16"/>
        <v>9.9538786534599938E-2</v>
      </c>
      <c r="J56" s="12">
        <f>J55*(1+Returns!B43)</f>
        <v>46252760.319347717</v>
      </c>
      <c r="K56" s="12">
        <f>K55*(1+Returns!C43)</f>
        <v>18860109.06040268</v>
      </c>
      <c r="L56" s="12">
        <f>L55*(1+Returns!D43)</f>
        <v>6525390.7562579382</v>
      </c>
      <c r="M56" s="12">
        <f>M55*(1+Returns!E43)</f>
        <v>21295836.231740028</v>
      </c>
      <c r="N56" s="12">
        <f>N55*(1+Returns!F43)</f>
        <v>11709317.261140211</v>
      </c>
      <c r="O56" s="12">
        <f>O55*(1+Returns!G43)</f>
        <v>12206536.750038365</v>
      </c>
      <c r="P56" s="12">
        <f>P55*(1+Returns!H43)</f>
        <v>12916827.613912018</v>
      </c>
      <c r="Q56" s="12">
        <f t="shared" si="2"/>
        <v>129766777.99283896</v>
      </c>
      <c r="R56" s="12">
        <f t="shared" si="3"/>
        <v>459590.67205797136</v>
      </c>
      <c r="S56" s="12">
        <f t="shared" si="4"/>
        <v>129307187.32078099</v>
      </c>
      <c r="T56" s="12"/>
      <c r="U56" t="b">
        <f t="shared" si="5"/>
        <v>1</v>
      </c>
      <c r="V56" s="12">
        <f>IF($U56=TRUE, $Q56*$C$7, $J56)</f>
        <v>38930033.397851691</v>
      </c>
      <c r="W56" s="12">
        <f>IF($U56=TRUE, $Q56*$C$8, $K56)</f>
        <v>19465016.698925845</v>
      </c>
      <c r="X56" s="12">
        <f>IF($U56=TRUE, $Q56*$C$9, $L56)</f>
        <v>6488338.8996419488</v>
      </c>
      <c r="Y56" s="12">
        <f>IF($U56=TRUE, $Q56*$C$10, $M56)</f>
        <v>25953355.598567795</v>
      </c>
      <c r="Z56" s="12">
        <f>IF($U56=TRUE, $Q56*$C$11, $N56)</f>
        <v>12976677.799283898</v>
      </c>
      <c r="AA56" s="12">
        <f>IF($U56=TRUE, $Q56*$C$12, $O56)</f>
        <v>12976677.799283898</v>
      </c>
      <c r="AB56" s="12">
        <f>IF($U56=TRUE, $Q56*$C$13, $P56)</f>
        <v>12976677.799283898</v>
      </c>
      <c r="AC56" s="12">
        <f>V56-(1-$B$3)</f>
        <v>38930032.401393354</v>
      </c>
      <c r="AD56" s="12">
        <f t="shared" si="6"/>
        <v>19396078.09811715</v>
      </c>
      <c r="AE56" s="12">
        <f t="shared" si="7"/>
        <v>6465359.3660390498</v>
      </c>
      <c r="AF56" s="12">
        <f t="shared" si="8"/>
        <v>25861437.464156199</v>
      </c>
      <c r="AG56" s="12">
        <f t="shared" si="9"/>
        <v>12930718.7320781</v>
      </c>
      <c r="AH56" s="12">
        <f t="shared" si="10"/>
        <v>12930718.7320781</v>
      </c>
      <c r="AI56" s="12">
        <f t="shared" si="11"/>
        <v>12930718.7320781</v>
      </c>
      <c r="AJ56" s="12">
        <f t="shared" si="12"/>
        <v>129445063.52594008</v>
      </c>
      <c r="AK56" s="12" t="b">
        <f t="shared" si="13"/>
        <v>1</v>
      </c>
    </row>
    <row r="57" spans="1:37" x14ac:dyDescent="0.2">
      <c r="A57" s="1">
        <f>Returns!A44</f>
        <v>43708</v>
      </c>
      <c r="B57" s="20">
        <f t="shared" si="14"/>
        <v>129307187.32078099</v>
      </c>
      <c r="C57" s="18">
        <f t="shared" si="15"/>
        <v>0.34931696459738881</v>
      </c>
      <c r="D57" s="18">
        <f t="shared" si="17"/>
        <v>0.14207464265785424</v>
      </c>
      <c r="E57" s="18">
        <f t="shared" si="17"/>
        <v>4.8220517092511697E-2</v>
      </c>
      <c r="F57" s="18">
        <f t="shared" si="17"/>
        <v>0.17004816422042512</v>
      </c>
      <c r="G57" s="18">
        <f t="shared" si="17"/>
        <v>9.3423071246396025E-2</v>
      </c>
      <c r="H57" s="18">
        <f t="shared" si="16"/>
        <v>9.7251370954488534E-2</v>
      </c>
      <c r="I57" s="18">
        <f t="shared" si="16"/>
        <v>9.9665269230935716E-2</v>
      </c>
      <c r="J57" s="12">
        <f>J56*(1+Returns!B44)</f>
        <v>45481569.560047559</v>
      </c>
      <c r="K57" s="12">
        <f>K56*(1+Returns!C44)</f>
        <v>18498322.147651002</v>
      </c>
      <c r="L57" s="12">
        <f>L56*(1+Returns!D44)</f>
        <v>6278380.4528139057</v>
      </c>
      <c r="M57" s="12">
        <f>M56*(1+Returns!E44)</f>
        <v>22140514.757030696</v>
      </c>
      <c r="N57" s="12">
        <f>N56*(1+Returns!F44)</f>
        <v>12163817.804564772</v>
      </c>
      <c r="O57" s="12">
        <f>O56*(1+Returns!G44)</f>
        <v>12662267.914684676</v>
      </c>
      <c r="P57" s="12">
        <f>P56*(1+Returns!H44)</f>
        <v>12976560.930764355</v>
      </c>
      <c r="Q57" s="12">
        <f t="shared" si="2"/>
        <v>130201433.56755695</v>
      </c>
      <c r="R57" s="12">
        <f t="shared" si="3"/>
        <v>461130.07721843087</v>
      </c>
      <c r="S57" s="12">
        <f t="shared" si="4"/>
        <v>129740303.49033852</v>
      </c>
      <c r="T57" s="12"/>
      <c r="U57" t="b">
        <f t="shared" si="5"/>
        <v>0</v>
      </c>
      <c r="V57" s="12">
        <f>IF($U57=TRUE, $Q57*$C$7, $J57)</f>
        <v>45481569.560047559</v>
      </c>
      <c r="W57" s="12">
        <f>IF($U57=TRUE, $Q57*$C$8, $K57)</f>
        <v>18498322.147651002</v>
      </c>
      <c r="X57" s="12">
        <f>IF($U57=TRUE, $Q57*$C$9, $L57)</f>
        <v>6278380.4528139057</v>
      </c>
      <c r="Y57" s="12">
        <f>IF($U57=TRUE, $Q57*$C$10, $M57)</f>
        <v>22140514.757030696</v>
      </c>
      <c r="Z57" s="12">
        <f>IF($U57=TRUE, $Q57*$C$11, $N57)</f>
        <v>12163817.804564772</v>
      </c>
      <c r="AA57" s="12">
        <f>IF($U57=TRUE, $Q57*$C$12, $O57)</f>
        <v>12662267.914684676</v>
      </c>
      <c r="AB57" s="12">
        <f>IF($U57=TRUE, $Q57*$C$13, $P57)</f>
        <v>12976560.930764355</v>
      </c>
      <c r="AC57" s="12">
        <f>V57-(1-$B$3)</f>
        <v>45481568.563589223</v>
      </c>
      <c r="AD57" s="12">
        <f t="shared" si="6"/>
        <v>18432807.256711405</v>
      </c>
      <c r="AE57" s="12">
        <f t="shared" si="7"/>
        <v>6256144.5220435234</v>
      </c>
      <c r="AF57" s="12">
        <f t="shared" si="8"/>
        <v>22062100.433932878</v>
      </c>
      <c r="AG57" s="12">
        <f t="shared" si="9"/>
        <v>12120737.616506938</v>
      </c>
      <c r="AH57" s="12">
        <f t="shared" si="10"/>
        <v>12617422.382486833</v>
      </c>
      <c r="AI57" s="12">
        <f t="shared" si="11"/>
        <v>12930602.277467897</v>
      </c>
      <c r="AJ57" s="12">
        <f t="shared" si="12"/>
        <v>129901383.0527387</v>
      </c>
      <c r="AK57" s="12" t="b">
        <f t="shared" si="13"/>
        <v>1</v>
      </c>
    </row>
    <row r="58" spans="1:37" x14ac:dyDescent="0.2">
      <c r="A58" s="1">
        <f>Returns!A45</f>
        <v>43738</v>
      </c>
      <c r="B58" s="20">
        <f t="shared" si="14"/>
        <v>129740303.49033852</v>
      </c>
      <c r="C58" s="18">
        <f t="shared" si="15"/>
        <v>0.35137241503813244</v>
      </c>
      <c r="D58" s="18">
        <f t="shared" si="17"/>
        <v>0.14462255143352787</v>
      </c>
      <c r="E58" s="18">
        <f t="shared" si="17"/>
        <v>4.8386499526924164E-2</v>
      </c>
      <c r="F58" s="18">
        <f t="shared" si="17"/>
        <v>0.165786853950179</v>
      </c>
      <c r="G58" s="18">
        <f t="shared" si="17"/>
        <v>9.1493626254610841E-2</v>
      </c>
      <c r="H58" s="18">
        <f t="shared" si="16"/>
        <v>9.7808931102528057E-2</v>
      </c>
      <c r="I58" s="18">
        <f t="shared" si="16"/>
        <v>0.10052912269409764</v>
      </c>
      <c r="J58" s="12">
        <f>J57*(1+Returns!B45)</f>
        <v>46364871.751316451</v>
      </c>
      <c r="K58" s="12">
        <f>K57*(1+Returns!C45)</f>
        <v>19083473.15436241</v>
      </c>
      <c r="L58" s="12">
        <f>L57*(1+Returns!D45)</f>
        <v>6384775.0962963505</v>
      </c>
      <c r="M58" s="12">
        <f>M57*(1+Returns!E45)</f>
        <v>21876180.06558679</v>
      </c>
      <c r="N58" s="12">
        <f>N57*(1+Returns!F45)</f>
        <v>12072917.69587986</v>
      </c>
      <c r="O58" s="12">
        <f>O57*(1+Returns!G45)</f>
        <v>12906245.204848861</v>
      </c>
      <c r="P58" s="12">
        <f>P57*(1+Returns!H45)</f>
        <v>13265184.406915836</v>
      </c>
      <c r="Q58" s="12">
        <f t="shared" si="2"/>
        <v>131953647.37520656</v>
      </c>
      <c r="R58" s="12">
        <f t="shared" si="3"/>
        <v>467335.83445385657</v>
      </c>
      <c r="S58" s="12">
        <f t="shared" si="4"/>
        <v>131486311.54075271</v>
      </c>
      <c r="T58" s="12"/>
      <c r="U58" t="b">
        <f t="shared" si="5"/>
        <v>1</v>
      </c>
      <c r="V58" s="12">
        <f>IF($U58=TRUE, $Q58*$C$7, $J58)</f>
        <v>39586094.212561965</v>
      </c>
      <c r="W58" s="12">
        <f>IF($U58=TRUE, $Q58*$C$8, $K58)</f>
        <v>19793047.106280982</v>
      </c>
      <c r="X58" s="12">
        <f>IF($U58=TRUE, $Q58*$C$9, $L58)</f>
        <v>6597682.3687603287</v>
      </c>
      <c r="Y58" s="12">
        <f>IF($U58=TRUE, $Q58*$C$10, $M58)</f>
        <v>26390729.475041315</v>
      </c>
      <c r="Z58" s="12">
        <f>IF($U58=TRUE, $Q58*$C$11, $N58)</f>
        <v>13195364.737520657</v>
      </c>
      <c r="AA58" s="12">
        <f>IF($U58=TRUE, $Q58*$C$12, $O58)</f>
        <v>13195364.737520657</v>
      </c>
      <c r="AB58" s="12">
        <f>IF($U58=TRUE, $Q58*$C$13, $P58)</f>
        <v>13195364.737520657</v>
      </c>
      <c r="AC58" s="12">
        <f>V58-(1-$B$3)</f>
        <v>39586093.216103628</v>
      </c>
      <c r="AD58" s="12">
        <f t="shared" si="6"/>
        <v>19722946.731112905</v>
      </c>
      <c r="AE58" s="12">
        <f t="shared" si="7"/>
        <v>6574315.5770376362</v>
      </c>
      <c r="AF58" s="12">
        <f t="shared" si="8"/>
        <v>26297262.308150545</v>
      </c>
      <c r="AG58" s="12">
        <f t="shared" si="9"/>
        <v>13148631.154075272</v>
      </c>
      <c r="AH58" s="12">
        <f t="shared" si="10"/>
        <v>13148631.154075272</v>
      </c>
      <c r="AI58" s="12">
        <f t="shared" si="11"/>
        <v>13148631.154075272</v>
      </c>
      <c r="AJ58" s="12">
        <f t="shared" si="12"/>
        <v>131626511.29463053</v>
      </c>
      <c r="AK58" s="12" t="b">
        <f t="shared" si="13"/>
        <v>1</v>
      </c>
    </row>
    <row r="59" spans="1:37" x14ac:dyDescent="0.2">
      <c r="A59" s="1">
        <f>Returns!A46</f>
        <v>43769</v>
      </c>
      <c r="B59" s="20">
        <f t="shared" si="14"/>
        <v>131486311.54075271</v>
      </c>
      <c r="C59" s="18">
        <f t="shared" si="15"/>
        <v>0.35278574917699146</v>
      </c>
      <c r="D59" s="18">
        <f t="shared" si="17"/>
        <v>0.14686159665079382</v>
      </c>
      <c r="E59" s="18">
        <f t="shared" si="17"/>
        <v>4.9518633515637941E-2</v>
      </c>
      <c r="F59" s="18">
        <f t="shared" si="17"/>
        <v>0.16316075744000491</v>
      </c>
      <c r="G59" s="18">
        <f t="shared" si="17"/>
        <v>9.0277417378330255E-2</v>
      </c>
      <c r="H59" s="18">
        <f t="shared" si="16"/>
        <v>9.7161472891650572E-2</v>
      </c>
      <c r="I59" s="18">
        <f t="shared" si="16"/>
        <v>0.10023437294659086</v>
      </c>
      <c r="J59" s="12">
        <f>J58*(1+Returns!B46)</f>
        <v>47390861.219636478</v>
      </c>
      <c r="K59" s="12">
        <f>K58*(1+Returns!C46)</f>
        <v>19728397.651006706</v>
      </c>
      <c r="L59" s="12">
        <f>L58*(1+Returns!D46)</f>
        <v>6651999.6745908521</v>
      </c>
      <c r="M59" s="12">
        <f>M58*(1+Returns!E46)</f>
        <v>21917917.122130569</v>
      </c>
      <c r="N59" s="12">
        <f>N58*(1+Returns!F46)</f>
        <v>12127260.152158884</v>
      </c>
      <c r="O59" s="12">
        <f>O58*(1+Returns!G46)</f>
        <v>13052017.799601048</v>
      </c>
      <c r="P59" s="12">
        <f>P58*(1+Returns!H46)</f>
        <v>13464810.494275425</v>
      </c>
      <c r="Q59" s="12">
        <f t="shared" si="2"/>
        <v>134333264.11339998</v>
      </c>
      <c r="R59" s="12">
        <f t="shared" si="3"/>
        <v>475763.64373495831</v>
      </c>
      <c r="S59" s="12">
        <f t="shared" si="4"/>
        <v>133857500.46966502</v>
      </c>
      <c r="T59" s="12"/>
      <c r="U59" t="b">
        <f t="shared" si="5"/>
        <v>1</v>
      </c>
      <c r="V59" s="12">
        <f>IF($U59=TRUE, $Q59*$C$7, $J59)</f>
        <v>40299979.234019995</v>
      </c>
      <c r="W59" s="12">
        <f>IF($U59=TRUE, $Q59*$C$8, $K59)</f>
        <v>20149989.617009997</v>
      </c>
      <c r="X59" s="12">
        <f>IF($U59=TRUE, $Q59*$C$9, $L59)</f>
        <v>6716663.2056699991</v>
      </c>
      <c r="Y59" s="12">
        <f>IF($U59=TRUE, $Q59*$C$10, $M59)</f>
        <v>26866652.822679996</v>
      </c>
      <c r="Z59" s="12">
        <f>IF($U59=TRUE, $Q59*$C$11, $N59)</f>
        <v>13433326.411339998</v>
      </c>
      <c r="AA59" s="12">
        <f>IF($U59=TRUE, $Q59*$C$12, $O59)</f>
        <v>13433326.411339998</v>
      </c>
      <c r="AB59" s="12">
        <f>IF($U59=TRUE, $Q59*$C$13, $P59)</f>
        <v>13433326.411339998</v>
      </c>
      <c r="AC59" s="12">
        <f>V59-(1-$B$3)</f>
        <v>40299978.237561658</v>
      </c>
      <c r="AD59" s="12">
        <f t="shared" si="6"/>
        <v>20078625.070449755</v>
      </c>
      <c r="AE59" s="12">
        <f t="shared" si="7"/>
        <v>6692875.0234832512</v>
      </c>
      <c r="AF59" s="12">
        <f t="shared" si="8"/>
        <v>26771500.093933005</v>
      </c>
      <c r="AG59" s="12">
        <f t="shared" si="9"/>
        <v>13385750.046966502</v>
      </c>
      <c r="AH59" s="12">
        <f t="shared" si="10"/>
        <v>13385750.046966502</v>
      </c>
      <c r="AI59" s="12">
        <f t="shared" si="11"/>
        <v>13385750.046966502</v>
      </c>
      <c r="AJ59" s="12">
        <f t="shared" si="12"/>
        <v>134000228.5663272</v>
      </c>
      <c r="AK59" s="12" t="b">
        <f t="shared" si="13"/>
        <v>1</v>
      </c>
    </row>
    <row r="60" spans="1:37" x14ac:dyDescent="0.2">
      <c r="A60" s="1">
        <f>Returns!A47</f>
        <v>43799</v>
      </c>
      <c r="B60" s="20">
        <f t="shared" si="14"/>
        <v>133857500.46966502</v>
      </c>
      <c r="C60" s="18">
        <f t="shared" si="15"/>
        <v>0.36132907370620232</v>
      </c>
      <c r="D60" s="18">
        <f t="shared" si="17"/>
        <v>0.14681660293704071</v>
      </c>
      <c r="E60" s="18">
        <f t="shared" si="17"/>
        <v>4.8903061921176633E-2</v>
      </c>
      <c r="F60" s="18">
        <f t="shared" si="17"/>
        <v>0.16017320996146076</v>
      </c>
      <c r="G60" s="18">
        <f t="shared" si="17"/>
        <v>8.9661089594385721E-2</v>
      </c>
      <c r="H60" s="18">
        <f t="shared" si="16"/>
        <v>9.4790955399329718E-2</v>
      </c>
      <c r="I60" s="18">
        <f t="shared" si="16"/>
        <v>9.8326006480404224E-2</v>
      </c>
      <c r="J60" s="12">
        <f>J59*(1+Returns!B47)</f>
        <v>49103108.544250026</v>
      </c>
      <c r="K60" s="12">
        <f>K59*(1+Returns!C47)</f>
        <v>19951761.74496644</v>
      </c>
      <c r="L60" s="12">
        <f>L59*(1+Returns!D47)</f>
        <v>6645721.4002497178</v>
      </c>
      <c r="M60" s="12">
        <f>M59*(1+Returns!E47)</f>
        <v>21766868.727019768</v>
      </c>
      <c r="N60" s="12">
        <f>N59*(1+Returns!F47)</f>
        <v>12184566.742416764</v>
      </c>
      <c r="O60" s="12">
        <f>O59*(1+Returns!G47)</f>
        <v>12881694.030995861</v>
      </c>
      <c r="P60" s="12">
        <f>P59*(1+Returns!H47)</f>
        <v>13362092.674711451</v>
      </c>
      <c r="Q60" s="12">
        <f t="shared" si="2"/>
        <v>135895813.86461002</v>
      </c>
      <c r="R60" s="12">
        <f t="shared" si="3"/>
        <v>481297.67410382716</v>
      </c>
      <c r="S60" s="12">
        <f t="shared" si="4"/>
        <v>135414516.19050619</v>
      </c>
      <c r="T60" s="12"/>
      <c r="U60" t="b">
        <f t="shared" si="5"/>
        <v>1</v>
      </c>
      <c r="V60" s="12">
        <f>IF($U60=TRUE, $Q60*$C$7, $J60)</f>
        <v>40768744.159383006</v>
      </c>
      <c r="W60" s="12">
        <f>IF($U60=TRUE, $Q60*$C$8, $K60)</f>
        <v>20384372.079691503</v>
      </c>
      <c r="X60" s="12">
        <f>IF($U60=TRUE, $Q60*$C$9, $L60)</f>
        <v>6794790.6932305014</v>
      </c>
      <c r="Y60" s="12">
        <f>IF($U60=TRUE, $Q60*$C$10, $M60)</f>
        <v>27179162.772922006</v>
      </c>
      <c r="Z60" s="12">
        <f>IF($U60=TRUE, $Q60*$C$11, $N60)</f>
        <v>13589581.386461003</v>
      </c>
      <c r="AA60" s="12">
        <f>IF($U60=TRUE, $Q60*$C$12, $O60)</f>
        <v>13589581.386461003</v>
      </c>
      <c r="AB60" s="12">
        <f>IF($U60=TRUE, $Q60*$C$13, $P60)</f>
        <v>13589581.386461003</v>
      </c>
      <c r="AC60" s="12">
        <f>V60-(1-$B$3)</f>
        <v>40768743.16292467</v>
      </c>
      <c r="AD60" s="12">
        <f t="shared" si="6"/>
        <v>20312177.428575929</v>
      </c>
      <c r="AE60" s="12">
        <f t="shared" si="7"/>
        <v>6770725.8095253101</v>
      </c>
      <c r="AF60" s="12">
        <f t="shared" si="8"/>
        <v>27082903.23810124</v>
      </c>
      <c r="AG60" s="12">
        <f t="shared" si="9"/>
        <v>13541451.61905062</v>
      </c>
      <c r="AH60" s="12">
        <f t="shared" si="10"/>
        <v>13541451.61905062</v>
      </c>
      <c r="AI60" s="12">
        <f t="shared" si="11"/>
        <v>13541451.61905062</v>
      </c>
      <c r="AJ60" s="12">
        <f t="shared" si="12"/>
        <v>135558904.496279</v>
      </c>
      <c r="AK60" s="12" t="b">
        <f t="shared" si="13"/>
        <v>1</v>
      </c>
    </row>
    <row r="61" spans="1:37" x14ac:dyDescent="0.2">
      <c r="A61" s="1">
        <f>Returns!A48</f>
        <v>43830</v>
      </c>
      <c r="B61" s="20">
        <f t="shared" si="14"/>
        <v>135414516.19050619</v>
      </c>
      <c r="C61" s="18">
        <f t="shared" si="15"/>
        <v>0.36381179843336087</v>
      </c>
      <c r="D61" s="18">
        <f t="shared" si="17"/>
        <v>0.1479497482585666</v>
      </c>
      <c r="E61" s="18">
        <f t="shared" si="17"/>
        <v>5.1231946537011089E-2</v>
      </c>
      <c r="F61" s="18">
        <f t="shared" si="17"/>
        <v>0.15524058631298623</v>
      </c>
      <c r="G61" s="18">
        <f t="shared" si="17"/>
        <v>8.8201562198048603E-2</v>
      </c>
      <c r="H61" s="18">
        <f t="shared" si="16"/>
        <v>9.3462132113895036E-2</v>
      </c>
      <c r="I61" s="18">
        <f t="shared" si="16"/>
        <v>0.1001022261461316</v>
      </c>
      <c r="J61" s="12">
        <f>J60*(1+Returns!B48)</f>
        <v>50531679.972821459</v>
      </c>
      <c r="K61" s="12">
        <f>K60*(1+Returns!C48)</f>
        <v>20549496.644295298</v>
      </c>
      <c r="L61" s="12">
        <f>L60*(1+Returns!D48)</f>
        <v>7115866.8793616332</v>
      </c>
      <c r="M61" s="12">
        <f>M60*(1+Returns!E48)</f>
        <v>21562158.402066972</v>
      </c>
      <c r="N61" s="12">
        <f>N60*(1+Returns!F48)</f>
        <v>12250765.734611213</v>
      </c>
      <c r="O61" s="12">
        <f>O60*(1+Returns!G48)</f>
        <v>12981433.174773673</v>
      </c>
      <c r="P61" s="12">
        <f>P60*(1+Returns!H48)</f>
        <v>13903709.769626545</v>
      </c>
      <c r="Q61" s="12">
        <f t="shared" si="2"/>
        <v>138895110.57755679</v>
      </c>
      <c r="R61" s="12">
        <f t="shared" si="3"/>
        <v>491920.18329551368</v>
      </c>
      <c r="S61" s="12">
        <f t="shared" si="4"/>
        <v>138403190.39426127</v>
      </c>
      <c r="T61" s="12"/>
      <c r="U61" t="b">
        <f t="shared" si="5"/>
        <v>1</v>
      </c>
      <c r="V61" s="12">
        <f>IF($U61=TRUE, $Q61*$C$7, $J61)</f>
        <v>41668533.173267037</v>
      </c>
      <c r="W61" s="12">
        <f>IF($U61=TRUE, $Q61*$C$8, $K61)</f>
        <v>20834266.586633518</v>
      </c>
      <c r="X61" s="12">
        <f>IF($U61=TRUE, $Q61*$C$9, $L61)</f>
        <v>6944755.5288778394</v>
      </c>
      <c r="Y61" s="12">
        <f>IF($U61=TRUE, $Q61*$C$10, $M61)</f>
        <v>27779022.115511358</v>
      </c>
      <c r="Z61" s="12">
        <f>IF($U61=TRUE, $Q61*$C$11, $N61)</f>
        <v>13889511.057755679</v>
      </c>
      <c r="AA61" s="12">
        <f>IF($U61=TRUE, $Q61*$C$12, $O61)</f>
        <v>13889511.057755679</v>
      </c>
      <c r="AB61" s="12">
        <f>IF($U61=TRUE, $Q61*$C$13, $P61)</f>
        <v>13889511.057755679</v>
      </c>
      <c r="AC61" s="12">
        <f>V61-(1-$B$3)</f>
        <v>41668532.1768087</v>
      </c>
      <c r="AD61" s="12">
        <f t="shared" si="6"/>
        <v>20760478.559139192</v>
      </c>
      <c r="AE61" s="12">
        <f t="shared" si="7"/>
        <v>6920159.5197130637</v>
      </c>
      <c r="AF61" s="12">
        <f t="shared" si="8"/>
        <v>27680638.078852255</v>
      </c>
      <c r="AG61" s="12">
        <f t="shared" si="9"/>
        <v>13840319.039426127</v>
      </c>
      <c r="AH61" s="12">
        <f t="shared" si="10"/>
        <v>13840319.039426127</v>
      </c>
      <c r="AI61" s="12">
        <f t="shared" si="11"/>
        <v>13840319.039426127</v>
      </c>
      <c r="AJ61" s="12">
        <f t="shared" si="12"/>
        <v>138550765.4527916</v>
      </c>
      <c r="AK61" s="12" t="b">
        <f t="shared" si="13"/>
        <v>1</v>
      </c>
    </row>
    <row r="62" spans="1:37" x14ac:dyDescent="0.2">
      <c r="A62" s="1">
        <f>Returns!A49</f>
        <v>43861</v>
      </c>
      <c r="B62" s="20">
        <f t="shared" si="14"/>
        <v>138403190.39426127</v>
      </c>
      <c r="C62" s="18">
        <f t="shared" si="15"/>
        <v>0.3627644416975066</v>
      </c>
      <c r="D62" s="18">
        <f t="shared" si="17"/>
        <v>0.14343090350739143</v>
      </c>
      <c r="E62" s="18">
        <f t="shared" si="17"/>
        <v>4.7963876651245643E-2</v>
      </c>
      <c r="F62" s="18">
        <f t="shared" si="17"/>
        <v>0.16025701507376541</v>
      </c>
      <c r="G62" s="18">
        <f t="shared" si="17"/>
        <v>9.0129154072242451E-2</v>
      </c>
      <c r="H62" s="18">
        <f t="shared" si="16"/>
        <v>9.4368929116941364E-2</v>
      </c>
      <c r="I62" s="18">
        <f t="shared" si="16"/>
        <v>0.10108567988090701</v>
      </c>
      <c r="J62" s="12">
        <f>J61*(1+Returns!B49)</f>
        <v>50509597.418039739</v>
      </c>
      <c r="K62" s="12">
        <f>K61*(1+Returns!C49)</f>
        <v>19970637.583892614</v>
      </c>
      <c r="L62" s="12">
        <f>L61*(1+Returns!D49)</f>
        <v>6678262.3151446134</v>
      </c>
      <c r="M62" s="12">
        <f>M61*(1+Returns!E49)</f>
        <v>22313425.419854909</v>
      </c>
      <c r="N62" s="12">
        <f>N61*(1+Returns!F49)</f>
        <v>12549155.221816035</v>
      </c>
      <c r="O62" s="12">
        <f>O61*(1+Returns!G49)</f>
        <v>13139481.356452359</v>
      </c>
      <c r="P62" s="12">
        <f>P61*(1+Returns!H49)</f>
        <v>14074689.822468745</v>
      </c>
      <c r="Q62" s="12">
        <f t="shared" si="2"/>
        <v>139235249.13766903</v>
      </c>
      <c r="R62" s="12">
        <f t="shared" si="3"/>
        <v>493124.84069591115</v>
      </c>
      <c r="S62" s="12">
        <f t="shared" si="4"/>
        <v>138742124.29697311</v>
      </c>
      <c r="T62" s="12"/>
      <c r="U62" t="b">
        <f t="shared" si="5"/>
        <v>1</v>
      </c>
      <c r="V62" s="12">
        <f>IF($U62=TRUE, $Q62*$C$7, $J62)</f>
        <v>41770574.74130071</v>
      </c>
      <c r="W62" s="12">
        <f>IF($U62=TRUE, $Q62*$C$8, $K62)</f>
        <v>20885287.370650355</v>
      </c>
      <c r="X62" s="12">
        <f>IF($U62=TRUE, $Q62*$C$9, $L62)</f>
        <v>6961762.4568834519</v>
      </c>
      <c r="Y62" s="12">
        <f>IF($U62=TRUE, $Q62*$C$10, $M62)</f>
        <v>27847049.827533808</v>
      </c>
      <c r="Z62" s="12">
        <f>IF($U62=TRUE, $Q62*$C$11, $N62)</f>
        <v>13923524.913766904</v>
      </c>
      <c r="AA62" s="12">
        <f>IF($U62=TRUE, $Q62*$C$12, $O62)</f>
        <v>13923524.913766904</v>
      </c>
      <c r="AB62" s="12">
        <f>IF($U62=TRUE, $Q62*$C$13, $P62)</f>
        <v>13923524.913766904</v>
      </c>
      <c r="AC62" s="12">
        <f>V62-(1-$B$3)</f>
        <v>41770573.744842373</v>
      </c>
      <c r="AD62" s="12">
        <f t="shared" si="6"/>
        <v>20811318.644545969</v>
      </c>
      <c r="AE62" s="12">
        <f t="shared" si="7"/>
        <v>6937106.2148486562</v>
      </c>
      <c r="AF62" s="12">
        <f t="shared" si="8"/>
        <v>27748424.859394625</v>
      </c>
      <c r="AG62" s="12">
        <f t="shared" si="9"/>
        <v>13874212.429697312</v>
      </c>
      <c r="AH62" s="12">
        <f t="shared" si="10"/>
        <v>13874212.429697312</v>
      </c>
      <c r="AI62" s="12">
        <f t="shared" si="11"/>
        <v>13874212.429697312</v>
      </c>
      <c r="AJ62" s="12">
        <f t="shared" si="12"/>
        <v>138890060.75272354</v>
      </c>
      <c r="AK62" s="12" t="b">
        <f t="shared" si="13"/>
        <v>1</v>
      </c>
    </row>
    <row r="63" spans="1:37" x14ac:dyDescent="0.2">
      <c r="A63" s="1">
        <f>Returns!A50</f>
        <v>43890</v>
      </c>
      <c r="B63" s="20">
        <f t="shared" si="14"/>
        <v>138742124.29697311</v>
      </c>
      <c r="C63" s="18">
        <f t="shared" si="15"/>
        <v>0.3522546572876461</v>
      </c>
      <c r="D63" s="18">
        <f t="shared" si="17"/>
        <v>0.13949275923464052</v>
      </c>
      <c r="E63" s="18">
        <f t="shared" si="17"/>
        <v>4.866375965255508E-2</v>
      </c>
      <c r="F63" s="18">
        <f t="shared" si="17"/>
        <v>0.1739772812763139</v>
      </c>
      <c r="G63" s="18">
        <f t="shared" si="17"/>
        <v>9.6082694626570708E-2</v>
      </c>
      <c r="H63" s="18">
        <f t="shared" si="16"/>
        <v>9.2521828144438059E-2</v>
      </c>
      <c r="I63" s="18">
        <f t="shared" si="16"/>
        <v>9.7007019777835671E-2</v>
      </c>
      <c r="J63" s="12">
        <f>J62*(1+Returns!B50)</f>
        <v>46514353.660608105</v>
      </c>
      <c r="K63" s="12">
        <f>K62*(1+Returns!C50)</f>
        <v>18419672.818791945</v>
      </c>
      <c r="L63" s="12">
        <f>L62*(1+Returns!D50)</f>
        <v>6425928.7424704935</v>
      </c>
      <c r="M63" s="12">
        <f>M62*(1+Returns!E50)</f>
        <v>22973268.409023151</v>
      </c>
      <c r="N63" s="12">
        <f>N62*(1+Returns!F50)</f>
        <v>12687481.47416264</v>
      </c>
      <c r="O63" s="12">
        <f>O62*(1+Returns!G50)</f>
        <v>12217277.888599053</v>
      </c>
      <c r="P63" s="12">
        <f>P62*(1+Returns!H50)</f>
        <v>12809536.317424016</v>
      </c>
      <c r="Q63" s="12">
        <f t="shared" si="2"/>
        <v>132047519.3110794</v>
      </c>
      <c r="R63" s="12">
        <f t="shared" si="3"/>
        <v>467668.29756007291</v>
      </c>
      <c r="S63" s="12">
        <f t="shared" si="4"/>
        <v>131579851.01351933</v>
      </c>
      <c r="T63" s="12"/>
      <c r="U63" t="b">
        <f t="shared" si="5"/>
        <v>1</v>
      </c>
      <c r="V63" s="12">
        <f>IF($U63=TRUE, $Q63*$C$7, $J63)</f>
        <v>39614255.793323815</v>
      </c>
      <c r="W63" s="12">
        <f>IF($U63=TRUE, $Q63*$C$8, $K63)</f>
        <v>19807127.896661907</v>
      </c>
      <c r="X63" s="12">
        <f>IF($U63=TRUE, $Q63*$C$9, $L63)</f>
        <v>6602375.9655539701</v>
      </c>
      <c r="Y63" s="12">
        <f>IF($U63=TRUE, $Q63*$C$10, $M63)</f>
        <v>26409503.86221588</v>
      </c>
      <c r="Z63" s="12">
        <f>IF($U63=TRUE, $Q63*$C$11, $N63)</f>
        <v>13204751.93110794</v>
      </c>
      <c r="AA63" s="12">
        <f>IF($U63=TRUE, $Q63*$C$12, $O63)</f>
        <v>13204751.93110794</v>
      </c>
      <c r="AB63" s="12">
        <f>IF($U63=TRUE, $Q63*$C$13, $P63)</f>
        <v>13204751.93110794</v>
      </c>
      <c r="AC63" s="12">
        <f>V63-(1-$B$3)</f>
        <v>39614254.796865478</v>
      </c>
      <c r="AD63" s="12">
        <f t="shared" si="6"/>
        <v>19736977.652027898</v>
      </c>
      <c r="AE63" s="12">
        <f t="shared" si="7"/>
        <v>6578992.5506759668</v>
      </c>
      <c r="AF63" s="12">
        <f t="shared" si="8"/>
        <v>26315970.202703867</v>
      </c>
      <c r="AG63" s="12">
        <f t="shared" si="9"/>
        <v>13157985.101351934</v>
      </c>
      <c r="AH63" s="12">
        <f t="shared" si="10"/>
        <v>13157985.101351934</v>
      </c>
      <c r="AI63" s="12">
        <f t="shared" si="11"/>
        <v>13157985.101351934</v>
      </c>
      <c r="AJ63" s="12">
        <f t="shared" si="12"/>
        <v>131720150.506329</v>
      </c>
      <c r="AK63" s="12" t="b">
        <f t="shared" si="13"/>
        <v>1</v>
      </c>
    </row>
    <row r="64" spans="1:37" x14ac:dyDescent="0.2">
      <c r="A64" s="1">
        <f>Returns!A51</f>
        <v>43921</v>
      </c>
      <c r="B64" s="20">
        <f t="shared" si="14"/>
        <v>131579851.01351933</v>
      </c>
      <c r="C64" s="18">
        <f t="shared" si="15"/>
        <v>0.34677747769182815</v>
      </c>
      <c r="D64" s="18">
        <f t="shared" si="17"/>
        <v>0.13477900821427904</v>
      </c>
      <c r="E64" s="18">
        <f t="shared" si="17"/>
        <v>4.6108845901574699E-2</v>
      </c>
      <c r="F64" s="18">
        <f t="shared" si="17"/>
        <v>0.2030222021806847</v>
      </c>
      <c r="G64" s="18">
        <f t="shared" si="17"/>
        <v>0.10098829524149538</v>
      </c>
      <c r="H64" s="18">
        <f t="shared" si="16"/>
        <v>8.3895293951749147E-2</v>
      </c>
      <c r="I64" s="18">
        <f t="shared" si="16"/>
        <v>8.4428876818388898E-2</v>
      </c>
      <c r="J64" s="12">
        <f>J63*(1+Returns!B51)</f>
        <v>40706641.753015108</v>
      </c>
      <c r="K64" s="12">
        <f>K63*(1+Returns!C51)</f>
        <v>15821098.993288588</v>
      </c>
      <c r="L64" s="12">
        <f>L63*(1+Returns!D51)</f>
        <v>5412509.1521323165</v>
      </c>
      <c r="M64" s="12">
        <f>M63*(1+Returns!E51)</f>
        <v>23831859.286495078</v>
      </c>
      <c r="N64" s="12">
        <f>N63*(1+Returns!F51)</f>
        <v>11854559.826104147</v>
      </c>
      <c r="O64" s="12">
        <f>O63*(1+Returns!G51)</f>
        <v>9848089.6117845681</v>
      </c>
      <c r="P64" s="12">
        <f>P63*(1+Returns!H51)</f>
        <v>9910724.4943681303</v>
      </c>
      <c r="Q64" s="12">
        <f t="shared" si="2"/>
        <v>117385483.11718793</v>
      </c>
      <c r="R64" s="12">
        <f t="shared" si="3"/>
        <v>415740.25270670728</v>
      </c>
      <c r="S64" s="12">
        <f t="shared" si="4"/>
        <v>116969742.86448123</v>
      </c>
      <c r="T64" s="12"/>
      <c r="U64" t="b">
        <f t="shared" si="5"/>
        <v>0</v>
      </c>
      <c r="V64" s="12">
        <f>IF($U64=TRUE, $Q64*$C$7, $J64)</f>
        <v>40706641.753015108</v>
      </c>
      <c r="W64" s="12">
        <f>IF($U64=TRUE, $Q64*$C$8, $K64)</f>
        <v>15821098.993288588</v>
      </c>
      <c r="X64" s="12">
        <f>IF($U64=TRUE, $Q64*$C$9, $L64)</f>
        <v>5412509.1521323165</v>
      </c>
      <c r="Y64" s="12">
        <f>IF($U64=TRUE, $Q64*$C$10, $M64)</f>
        <v>23831859.286495078</v>
      </c>
      <c r="Z64" s="12">
        <f>IF($U64=TRUE, $Q64*$C$11, $N64)</f>
        <v>11854559.826104147</v>
      </c>
      <c r="AA64" s="12">
        <f>IF($U64=TRUE, $Q64*$C$12, $O64)</f>
        <v>9848089.6117845681</v>
      </c>
      <c r="AB64" s="12">
        <f>IF($U64=TRUE, $Q64*$C$13, $P64)</f>
        <v>9910724.4943681303</v>
      </c>
      <c r="AC64" s="12">
        <f>V64-(1-$B$3)</f>
        <v>40706640.756556772</v>
      </c>
      <c r="AD64" s="12">
        <f t="shared" si="6"/>
        <v>15765065.934354024</v>
      </c>
      <c r="AE64" s="12">
        <f t="shared" si="7"/>
        <v>5393339.8488851814</v>
      </c>
      <c r="AF64" s="12">
        <f t="shared" si="8"/>
        <v>23747454.784855407</v>
      </c>
      <c r="AG64" s="12">
        <f t="shared" si="9"/>
        <v>11812574.926720029</v>
      </c>
      <c r="AH64" s="12">
        <f t="shared" si="10"/>
        <v>9813210.9610761646</v>
      </c>
      <c r="AI64" s="12">
        <f t="shared" si="11"/>
        <v>9875624.0117839091</v>
      </c>
      <c r="AJ64" s="12">
        <f t="shared" si="12"/>
        <v>117113911.22423148</v>
      </c>
      <c r="AK64" s="12" t="b">
        <f t="shared" si="13"/>
        <v>1</v>
      </c>
    </row>
    <row r="65" spans="1:37" x14ac:dyDescent="0.2">
      <c r="A65" s="1">
        <f>Returns!A52</f>
        <v>43951</v>
      </c>
      <c r="B65" s="20">
        <f t="shared" si="14"/>
        <v>116969742.86448123</v>
      </c>
      <c r="C65" s="18">
        <f t="shared" si="15"/>
        <v>0.36361061718038656</v>
      </c>
      <c r="D65" s="18">
        <f t="shared" si="17"/>
        <v>0.13267910047351383</v>
      </c>
      <c r="E65" s="18">
        <f t="shared" si="17"/>
        <v>4.6054872659549086E-2</v>
      </c>
      <c r="F65" s="18">
        <f t="shared" si="17"/>
        <v>0.18937973034160518</v>
      </c>
      <c r="G65" s="18">
        <f t="shared" si="17"/>
        <v>9.8509233418838091E-2</v>
      </c>
      <c r="H65" s="18">
        <f t="shared" si="16"/>
        <v>8.5049165064600807E-2</v>
      </c>
      <c r="I65" s="18">
        <f t="shared" si="16"/>
        <v>8.4717280861506455E-2</v>
      </c>
      <c r="J65" s="12">
        <f>J64*(1+Returns!B52)</f>
        <v>45875658.229998291</v>
      </c>
      <c r="K65" s="12">
        <f>K64*(1+Returns!C52)</f>
        <v>16739723.154362414</v>
      </c>
      <c r="L65" s="12">
        <f>L64*(1+Returns!D52)</f>
        <v>5810604.8011997715</v>
      </c>
      <c r="M65" s="12">
        <f>M64*(1+Returns!E52)</f>
        <v>23893471.131869223</v>
      </c>
      <c r="N65" s="12">
        <f>N64*(1+Returns!F52)</f>
        <v>12428613.773342563</v>
      </c>
      <c r="O65" s="12">
        <f>O64*(1+Returns!G52)</f>
        <v>10730397.422126751</v>
      </c>
      <c r="P65" s="12">
        <f>P64*(1+Returns!H52)</f>
        <v>10688524.590163931</v>
      </c>
      <c r="Q65" s="12">
        <f t="shared" si="2"/>
        <v>126166993.10306294</v>
      </c>
      <c r="R65" s="12">
        <f t="shared" si="3"/>
        <v>446841.43390668131</v>
      </c>
      <c r="S65" s="12">
        <f t="shared" si="4"/>
        <v>125720151.66915627</v>
      </c>
      <c r="T65" s="12"/>
      <c r="U65" t="b">
        <f t="shared" si="5"/>
        <v>1</v>
      </c>
      <c r="V65" s="12">
        <f>IF($U65=TRUE, $Q65*$C$7, $J65)</f>
        <v>37850097.93091888</v>
      </c>
      <c r="W65" s="12">
        <f>IF($U65=TRUE, $Q65*$C$8, $K65)</f>
        <v>18925048.96545944</v>
      </c>
      <c r="X65" s="12">
        <f>IF($U65=TRUE, $Q65*$C$9, $L65)</f>
        <v>6308349.6551531479</v>
      </c>
      <c r="Y65" s="12">
        <f>IF($U65=TRUE, $Q65*$C$10, $M65)</f>
        <v>25233398.620612592</v>
      </c>
      <c r="Z65" s="12">
        <f>IF($U65=TRUE, $Q65*$C$11, $N65)</f>
        <v>12616699.310306296</v>
      </c>
      <c r="AA65" s="12">
        <f>IF($U65=TRUE, $Q65*$C$12, $O65)</f>
        <v>12616699.310306296</v>
      </c>
      <c r="AB65" s="12">
        <f>IF($U65=TRUE, $Q65*$C$13, $P65)</f>
        <v>12616699.310306296</v>
      </c>
      <c r="AC65" s="12">
        <f>V65-(1-$B$3)</f>
        <v>37850096.934460543</v>
      </c>
      <c r="AD65" s="12">
        <f t="shared" si="6"/>
        <v>18858022.750373438</v>
      </c>
      <c r="AE65" s="12">
        <f t="shared" si="7"/>
        <v>6286007.5834578136</v>
      </c>
      <c r="AF65" s="12">
        <f t="shared" si="8"/>
        <v>25144030.333831254</v>
      </c>
      <c r="AG65" s="12">
        <f t="shared" si="9"/>
        <v>12572015.166915627</v>
      </c>
      <c r="AH65" s="12">
        <f t="shared" si="10"/>
        <v>12572015.166915627</v>
      </c>
      <c r="AI65" s="12">
        <f t="shared" si="11"/>
        <v>12572015.166915627</v>
      </c>
      <c r="AJ65" s="12">
        <f t="shared" si="12"/>
        <v>125854203.10286993</v>
      </c>
      <c r="AK65" s="12" t="b">
        <f t="shared" si="13"/>
        <v>1</v>
      </c>
    </row>
    <row r="66" spans="1:37" x14ac:dyDescent="0.2">
      <c r="A66" s="1">
        <f>Returns!A53</f>
        <v>43982</v>
      </c>
      <c r="B66" s="20">
        <f t="shared" si="14"/>
        <v>125720151.66915627</v>
      </c>
      <c r="C66" s="18">
        <f t="shared" si="15"/>
        <v>0.36801603801835353</v>
      </c>
      <c r="D66" s="18">
        <f t="shared" si="17"/>
        <v>0.13514489815196068</v>
      </c>
      <c r="E66" s="18">
        <f t="shared" si="17"/>
        <v>4.5817528559909851E-2</v>
      </c>
      <c r="F66" s="18">
        <f t="shared" si="17"/>
        <v>0.18337296577627782</v>
      </c>
      <c r="G66" s="18">
        <f t="shared" si="17"/>
        <v>9.7281840448199652E-2</v>
      </c>
      <c r="H66" s="18">
        <f t="shared" si="16"/>
        <v>8.3588767480565027E-2</v>
      </c>
      <c r="I66" s="18">
        <f t="shared" si="16"/>
        <v>8.6777961564733497E-2</v>
      </c>
      <c r="J66" s="12">
        <f>J65*(1+Returns!B53)</f>
        <v>48060132.495328687</v>
      </c>
      <c r="K66" s="12">
        <f>K65*(1+Returns!C53)</f>
        <v>17648909.39597315</v>
      </c>
      <c r="L66" s="12">
        <f>L65*(1+Returns!D53)</f>
        <v>5983425.3557394054</v>
      </c>
      <c r="M66" s="12">
        <f>M65*(1+Returns!E53)</f>
        <v>23947133.061711214</v>
      </c>
      <c r="N66" s="12">
        <f>N65*(1+Returns!F53)</f>
        <v>12704278.233376157</v>
      </c>
      <c r="O66" s="12">
        <f>O65*(1+Returns!G53)</f>
        <v>10916065.674390063</v>
      </c>
      <c r="P66" s="12">
        <f>P65*(1+Returns!H53)</f>
        <v>11332550.48593192</v>
      </c>
      <c r="Q66" s="12">
        <f t="shared" si="2"/>
        <v>130592494.70245059</v>
      </c>
      <c r="R66" s="12">
        <f t="shared" si="3"/>
        <v>462515.08540451253</v>
      </c>
      <c r="S66" s="12">
        <f t="shared" si="4"/>
        <v>130129979.61704607</v>
      </c>
      <c r="T66" s="12"/>
      <c r="U66" t="b">
        <f t="shared" si="5"/>
        <v>1</v>
      </c>
      <c r="V66" s="12">
        <f>IF($U66=TRUE, $Q66*$C$7, $J66)</f>
        <v>39177748.410735175</v>
      </c>
      <c r="W66" s="12">
        <f>IF($U66=TRUE, $Q66*$C$8, $K66)</f>
        <v>19588874.205367588</v>
      </c>
      <c r="X66" s="12">
        <f>IF($U66=TRUE, $Q66*$C$9, $L66)</f>
        <v>6529624.7351225298</v>
      </c>
      <c r="Y66" s="12">
        <f>IF($U66=TRUE, $Q66*$C$10, $M66)</f>
        <v>26118498.940490119</v>
      </c>
      <c r="Z66" s="12">
        <f>IF($U66=TRUE, $Q66*$C$11, $N66)</f>
        <v>13059249.47024506</v>
      </c>
      <c r="AA66" s="12">
        <f>IF($U66=TRUE, $Q66*$C$12, $O66)</f>
        <v>13059249.47024506</v>
      </c>
      <c r="AB66" s="12">
        <f>IF($U66=TRUE, $Q66*$C$13, $P66)</f>
        <v>13059249.47024506</v>
      </c>
      <c r="AC66" s="12">
        <f>V66-(1-$B$3)</f>
        <v>39177747.414276838</v>
      </c>
      <c r="AD66" s="12">
        <f t="shared" si="6"/>
        <v>19519496.94255691</v>
      </c>
      <c r="AE66" s="12">
        <f t="shared" si="7"/>
        <v>6506498.980852304</v>
      </c>
      <c r="AF66" s="12">
        <f t="shared" si="8"/>
        <v>26025995.923409216</v>
      </c>
      <c r="AG66" s="12">
        <f t="shared" si="9"/>
        <v>13012997.961704608</v>
      </c>
      <c r="AH66" s="12">
        <f t="shared" si="10"/>
        <v>13012997.961704608</v>
      </c>
      <c r="AI66" s="12">
        <f t="shared" si="11"/>
        <v>13012997.961704608</v>
      </c>
      <c r="AJ66" s="12">
        <f t="shared" si="12"/>
        <v>130268733.14620911</v>
      </c>
      <c r="AK66" s="12" t="b">
        <f t="shared" si="13"/>
        <v>1</v>
      </c>
    </row>
    <row r="67" spans="1:37" x14ac:dyDescent="0.2">
      <c r="A67" s="1">
        <f>Returns!A54</f>
        <v>44012</v>
      </c>
      <c r="B67" s="20">
        <f t="shared" si="14"/>
        <v>130129979.61704607</v>
      </c>
      <c r="C67" s="18">
        <f t="shared" si="15"/>
        <v>0.36801934385340584</v>
      </c>
      <c r="D67" s="18">
        <f t="shared" si="17"/>
        <v>0.13745306803063997</v>
      </c>
      <c r="E67" s="18">
        <f t="shared" si="17"/>
        <v>4.7993940974083535E-2</v>
      </c>
      <c r="F67" s="18">
        <f t="shared" si="17"/>
        <v>0.1802525053479441</v>
      </c>
      <c r="G67" s="18">
        <f t="shared" si="17"/>
        <v>9.7601349624096806E-2</v>
      </c>
      <c r="H67" s="18">
        <f t="shared" si="16"/>
        <v>8.4129565929789887E-2</v>
      </c>
      <c r="I67" s="18">
        <f t="shared" si="16"/>
        <v>8.4550226240039716E-2</v>
      </c>
      <c r="J67" s="12">
        <f>J66*(1+Returns!B54)</f>
        <v>48912858.841515198</v>
      </c>
      <c r="K67" s="12">
        <f>K66*(1+Returns!C54)</f>
        <v>18268666.107382547</v>
      </c>
      <c r="L67" s="12">
        <f>L66*(1+Returns!D54)</f>
        <v>6378797.4717123965</v>
      </c>
      <c r="M67" s="12">
        <f>M66*(1+Returns!E54)</f>
        <v>23957070.456126403</v>
      </c>
      <c r="N67" s="12">
        <f>N66*(1+Returns!F54)</f>
        <v>12972038.3361328</v>
      </c>
      <c r="O67" s="12">
        <f>O66*(1+Returns!G54)</f>
        <v>11181525.241675625</v>
      </c>
      <c r="P67" s="12">
        <f>P66*(1+Returns!H54)</f>
        <v>11237434.526660586</v>
      </c>
      <c r="Q67" s="12">
        <f t="shared" si="2"/>
        <v>132908390.98120557</v>
      </c>
      <c r="R67" s="12">
        <f t="shared" si="3"/>
        <v>470717.21805843641</v>
      </c>
      <c r="S67" s="12">
        <f t="shared" si="4"/>
        <v>132437673.76314713</v>
      </c>
      <c r="T67" s="12"/>
      <c r="U67" t="b">
        <f t="shared" si="5"/>
        <v>1</v>
      </c>
      <c r="V67" s="12">
        <f>IF($U67=TRUE, $Q67*$C$7, $J67)</f>
        <v>39872517.294361666</v>
      </c>
      <c r="W67" s="12">
        <f>IF($U67=TRUE, $Q67*$C$8, $K67)</f>
        <v>19936258.647180833</v>
      </c>
      <c r="X67" s="12">
        <f>IF($U67=TRUE, $Q67*$C$9, $L67)</f>
        <v>6645419.5490602786</v>
      </c>
      <c r="Y67" s="12">
        <f>IF($U67=TRUE, $Q67*$C$10, $M67)</f>
        <v>26581678.196241114</v>
      </c>
      <c r="Z67" s="12">
        <f>IF($U67=TRUE, $Q67*$C$11, $N67)</f>
        <v>13290839.098120557</v>
      </c>
      <c r="AA67" s="12">
        <f>IF($U67=TRUE, $Q67*$C$12, $O67)</f>
        <v>13290839.098120557</v>
      </c>
      <c r="AB67" s="12">
        <f>IF($U67=TRUE, $Q67*$C$13, $P67)</f>
        <v>13290839.098120557</v>
      </c>
      <c r="AC67" s="12">
        <f>V67-(1-$B$3)</f>
        <v>39872516.297903329</v>
      </c>
      <c r="AD67" s="12">
        <f t="shared" si="6"/>
        <v>19865651.064472068</v>
      </c>
      <c r="AE67" s="12">
        <f t="shared" si="7"/>
        <v>6621883.6881573563</v>
      </c>
      <c r="AF67" s="12">
        <f t="shared" si="8"/>
        <v>26487534.752629425</v>
      </c>
      <c r="AG67" s="12">
        <f t="shared" si="9"/>
        <v>13243767.376314713</v>
      </c>
      <c r="AH67" s="12">
        <f t="shared" si="10"/>
        <v>13243767.376314713</v>
      </c>
      <c r="AI67" s="12">
        <f t="shared" si="11"/>
        <v>13243767.376314713</v>
      </c>
      <c r="AJ67" s="12">
        <f t="shared" si="12"/>
        <v>132578887.93210632</v>
      </c>
      <c r="AK67" s="12" t="b">
        <f t="shared" si="13"/>
        <v>1</v>
      </c>
    </row>
    <row r="68" spans="1:37" x14ac:dyDescent="0.2">
      <c r="A68" s="1">
        <f>Returns!A55</f>
        <v>44043</v>
      </c>
      <c r="B68" s="20">
        <f t="shared" si="14"/>
        <v>132437673.76314713</v>
      </c>
      <c r="C68" s="18">
        <f t="shared" si="15"/>
        <v>0.37549702422083342</v>
      </c>
      <c r="D68" s="18">
        <f t="shared" si="17"/>
        <v>0.1350039462412411</v>
      </c>
      <c r="E68" s="18">
        <f t="shared" si="17"/>
        <v>5.0062902495036539E-2</v>
      </c>
      <c r="F68" s="18">
        <f t="shared" si="17"/>
        <v>0.17517496957208861</v>
      </c>
      <c r="G68" s="18">
        <f t="shared" si="17"/>
        <v>9.6963890376026401E-2</v>
      </c>
      <c r="H68" s="18">
        <f t="shared" si="16"/>
        <v>8.40151043918234E-2</v>
      </c>
      <c r="I68" s="18">
        <f t="shared" si="16"/>
        <v>8.3282162702950649E-2</v>
      </c>
      <c r="J68" s="12">
        <f>J67*(1+Returns!B55)</f>
        <v>51792084.253439777</v>
      </c>
      <c r="K68" s="12">
        <f>K67*(1+Returns!C55)</f>
        <v>18621015.100671135</v>
      </c>
      <c r="L68" s="12">
        <f>L67*(1+Returns!D55)</f>
        <v>6905146.7701373463</v>
      </c>
      <c r="M68" s="12">
        <f>M67*(1+Returns!E55)</f>
        <v>24161780.781079199</v>
      </c>
      <c r="N68" s="12">
        <f>N67*(1+Returns!F55)</f>
        <v>13374172.51259758</v>
      </c>
      <c r="O68" s="12">
        <f>O67*(1+Returns!G55)</f>
        <v>11588154.058615932</v>
      </c>
      <c r="P68" s="12">
        <f>P67*(1+Returns!H55)</f>
        <v>11487059.841473399</v>
      </c>
      <c r="Q68" s="12">
        <f t="shared" si="2"/>
        <v>137929413.31801435</v>
      </c>
      <c r="R68" s="12">
        <f t="shared" si="3"/>
        <v>488500.00550130085</v>
      </c>
      <c r="S68" s="12">
        <f t="shared" si="4"/>
        <v>137440913.31251305</v>
      </c>
      <c r="T68" s="12"/>
      <c r="U68" t="b">
        <f t="shared" si="5"/>
        <v>1</v>
      </c>
      <c r="V68" s="12">
        <f>IF($U68=TRUE, $Q68*$C$7, $J68)</f>
        <v>41378823.995404303</v>
      </c>
      <c r="W68" s="12">
        <f>IF($U68=TRUE, $Q68*$C$8, $K68)</f>
        <v>20689411.997702152</v>
      </c>
      <c r="X68" s="12">
        <f>IF($U68=TRUE, $Q68*$C$9, $L68)</f>
        <v>6896470.6659007184</v>
      </c>
      <c r="Y68" s="12">
        <f>IF($U68=TRUE, $Q68*$C$10, $M68)</f>
        <v>27585882.663602874</v>
      </c>
      <c r="Z68" s="12">
        <f>IF($U68=TRUE, $Q68*$C$11, $N68)</f>
        <v>13792941.331801437</v>
      </c>
      <c r="AA68" s="12">
        <f>IF($U68=TRUE, $Q68*$C$12, $O68)</f>
        <v>13792941.331801437</v>
      </c>
      <c r="AB68" s="12">
        <f>IF($U68=TRUE, $Q68*$C$13, $P68)</f>
        <v>13792941.331801437</v>
      </c>
      <c r="AC68" s="12">
        <f>V68-(1-$B$3)</f>
        <v>41378822.998945966</v>
      </c>
      <c r="AD68" s="12">
        <f t="shared" si="6"/>
        <v>20616136.996876955</v>
      </c>
      <c r="AE68" s="12">
        <f t="shared" si="7"/>
        <v>6872045.6656256532</v>
      </c>
      <c r="AF68" s="12">
        <f t="shared" si="8"/>
        <v>27488182.662502613</v>
      </c>
      <c r="AG68" s="12">
        <f t="shared" si="9"/>
        <v>13744091.331251306</v>
      </c>
      <c r="AH68" s="12">
        <f t="shared" si="10"/>
        <v>13744091.331251306</v>
      </c>
      <c r="AI68" s="12">
        <f t="shared" si="11"/>
        <v>13744091.331251306</v>
      </c>
      <c r="AJ68" s="12">
        <f t="shared" si="12"/>
        <v>137587462.31770509</v>
      </c>
      <c r="AK68" s="12" t="b">
        <f t="shared" si="13"/>
        <v>1</v>
      </c>
    </row>
    <row r="69" spans="1:37" x14ac:dyDescent="0.2">
      <c r="A69" s="1">
        <f>Returns!A56</f>
        <v>44074</v>
      </c>
      <c r="B69" s="20">
        <f t="shared" si="14"/>
        <v>137440913.31251305</v>
      </c>
      <c r="C69" s="18">
        <f t="shared" si="15"/>
        <v>0.38915326952261819</v>
      </c>
      <c r="D69" s="18">
        <f t="shared" si="17"/>
        <v>0.13696850809710903</v>
      </c>
      <c r="E69" s="18">
        <f t="shared" si="17"/>
        <v>4.9897702322684305E-2</v>
      </c>
      <c r="F69" s="18">
        <f t="shared" si="17"/>
        <v>0.16804941851872521</v>
      </c>
      <c r="G69" s="18">
        <f t="shared" si="17"/>
        <v>9.2272931973127831E-2</v>
      </c>
      <c r="H69" s="18">
        <f t="shared" si="16"/>
        <v>8.1743257546901635E-2</v>
      </c>
      <c r="I69" s="18">
        <f t="shared" si="16"/>
        <v>8.1914912018833747E-2</v>
      </c>
      <c r="J69" s="12">
        <f>J68*(1+Returns!B56)</f>
        <v>55408527.263461858</v>
      </c>
      <c r="K69" s="12">
        <f>K68*(1+Returns!C56)</f>
        <v>19501887.58389261</v>
      </c>
      <c r="L69" s="12">
        <f>L68*(1+Returns!D56)</f>
        <v>7104548.3002677569</v>
      </c>
      <c r="M69" s="12">
        <f>M68*(1+Returns!E56)</f>
        <v>23927258.272880848</v>
      </c>
      <c r="N69" s="12">
        <f>N68*(1+Returns!F56)</f>
        <v>13138029.838948729</v>
      </c>
      <c r="O69" s="12">
        <f>O68*(1+Returns!G56)</f>
        <v>11638790.854687743</v>
      </c>
      <c r="P69" s="12">
        <f>P68*(1+Returns!H56)</f>
        <v>11663231.408661794</v>
      </c>
      <c r="Q69" s="12">
        <f t="shared" si="2"/>
        <v>142382273.52280134</v>
      </c>
      <c r="R69" s="12">
        <f t="shared" si="3"/>
        <v>504270.55205992144</v>
      </c>
      <c r="S69" s="12">
        <f t="shared" si="4"/>
        <v>141878002.97074142</v>
      </c>
      <c r="T69" s="12"/>
      <c r="U69" t="b">
        <f t="shared" si="5"/>
        <v>1</v>
      </c>
      <c r="V69" s="12">
        <f>IF($U69=TRUE, $Q69*$C$7, $J69)</f>
        <v>42714682.056840397</v>
      </c>
      <c r="W69" s="12">
        <f>IF($U69=TRUE, $Q69*$C$8, $K69)</f>
        <v>21357341.028420199</v>
      </c>
      <c r="X69" s="12">
        <f>IF($U69=TRUE, $Q69*$C$9, $L69)</f>
        <v>7119113.6761400672</v>
      </c>
      <c r="Y69" s="12">
        <f>IF($U69=TRUE, $Q69*$C$10, $M69)</f>
        <v>28476454.704560269</v>
      </c>
      <c r="Z69" s="12">
        <f>IF($U69=TRUE, $Q69*$C$11, $N69)</f>
        <v>14238227.352280134</v>
      </c>
      <c r="AA69" s="12">
        <f>IF($U69=TRUE, $Q69*$C$12, $O69)</f>
        <v>14238227.352280134</v>
      </c>
      <c r="AB69" s="12">
        <f>IF($U69=TRUE, $Q69*$C$13, $P69)</f>
        <v>14238227.352280134</v>
      </c>
      <c r="AC69" s="12">
        <f>V69-(1-$B$3)</f>
        <v>42714681.060382061</v>
      </c>
      <c r="AD69" s="12">
        <f t="shared" si="6"/>
        <v>21281700.445611209</v>
      </c>
      <c r="AE69" s="12">
        <f t="shared" si="7"/>
        <v>7093900.1485370714</v>
      </c>
      <c r="AF69" s="12">
        <f t="shared" si="8"/>
        <v>28375600.594148286</v>
      </c>
      <c r="AG69" s="12">
        <f t="shared" si="9"/>
        <v>14187800.297074143</v>
      </c>
      <c r="AH69" s="12">
        <f t="shared" si="10"/>
        <v>14187800.297074143</v>
      </c>
      <c r="AI69" s="12">
        <f t="shared" si="11"/>
        <v>14187800.297074143</v>
      </c>
      <c r="AJ69" s="12">
        <f t="shared" si="12"/>
        <v>142029283.13990104</v>
      </c>
      <c r="AK69" s="12" t="b">
        <f t="shared" si="13"/>
        <v>1</v>
      </c>
    </row>
    <row r="70" spans="1:37" x14ac:dyDescent="0.2">
      <c r="A70" s="1">
        <f>Returns!A57</f>
        <v>44104</v>
      </c>
      <c r="B70" s="20">
        <f t="shared" si="14"/>
        <v>141878002.97074142</v>
      </c>
      <c r="C70" s="18">
        <f t="shared" si="15"/>
        <v>0.38325344384768362</v>
      </c>
      <c r="D70" s="18">
        <f t="shared" si="17"/>
        <v>0.13726660483578229</v>
      </c>
      <c r="E70" s="18">
        <f t="shared" si="17"/>
        <v>5.0536508909592777E-2</v>
      </c>
      <c r="F70" s="18">
        <f t="shared" si="17"/>
        <v>0.17238041018601066</v>
      </c>
      <c r="G70" s="18">
        <f t="shared" si="17"/>
        <v>9.3783110323140642E-2</v>
      </c>
      <c r="H70" s="18">
        <f t="shared" si="16"/>
        <v>8.1418310049278325E-2</v>
      </c>
      <c r="I70" s="18">
        <f t="shared" si="16"/>
        <v>8.1361611848511706E-2</v>
      </c>
      <c r="J70" s="12">
        <f>J69*(1+Returns!B57)</f>
        <v>53334465.772040084</v>
      </c>
      <c r="K70" s="12">
        <f>K69*(1+Returns!C57)</f>
        <v>19102348.993288584</v>
      </c>
      <c r="L70" s="12">
        <f>L69*(1+Returns!D57)</f>
        <v>7032781.4347006427</v>
      </c>
      <c r="M70" s="12">
        <f>M69*(1+Returns!E57)</f>
        <v>23988870.118254993</v>
      </c>
      <c r="N70" s="12">
        <f>N69*(1+Returns!F57)</f>
        <v>13051081.908902291</v>
      </c>
      <c r="O70" s="12">
        <f>O69*(1+Returns!G57)</f>
        <v>11330366.733159434</v>
      </c>
      <c r="P70" s="12">
        <f>P69*(1+Returns!H57)</f>
        <v>11322476.475950617</v>
      </c>
      <c r="Q70" s="12">
        <f t="shared" si="2"/>
        <v>139162391.43629664</v>
      </c>
      <c r="R70" s="12">
        <f t="shared" si="3"/>
        <v>492866.80300355062</v>
      </c>
      <c r="S70" s="12">
        <f t="shared" si="4"/>
        <v>138669524.63329309</v>
      </c>
      <c r="T70" s="12"/>
      <c r="U70" t="b">
        <f t="shared" si="5"/>
        <v>1</v>
      </c>
      <c r="V70" s="12">
        <f>IF($U70=TRUE, $Q70*$C$7, $J70)</f>
        <v>41748717.430888988</v>
      </c>
      <c r="W70" s="12">
        <f>IF($U70=TRUE, $Q70*$C$8, $K70)</f>
        <v>20874358.715444494</v>
      </c>
      <c r="X70" s="12">
        <f>IF($U70=TRUE, $Q70*$C$9, $L70)</f>
        <v>6958119.5718148323</v>
      </c>
      <c r="Y70" s="12">
        <f>IF($U70=TRUE, $Q70*$C$10, $M70)</f>
        <v>27832478.287259329</v>
      </c>
      <c r="Z70" s="12">
        <f>IF($U70=TRUE, $Q70*$C$11, $N70)</f>
        <v>13916239.143629665</v>
      </c>
      <c r="AA70" s="12">
        <f>IF($U70=TRUE, $Q70*$C$12, $O70)</f>
        <v>13916239.143629665</v>
      </c>
      <c r="AB70" s="12">
        <f>IF($U70=TRUE, $Q70*$C$13, $P70)</f>
        <v>13916239.143629665</v>
      </c>
      <c r="AC70" s="12">
        <f>V70-(1-$B$3)</f>
        <v>41748716.434430651</v>
      </c>
      <c r="AD70" s="12">
        <f t="shared" si="6"/>
        <v>20800428.694993962</v>
      </c>
      <c r="AE70" s="12">
        <f t="shared" si="7"/>
        <v>6933476.2316646548</v>
      </c>
      <c r="AF70" s="12">
        <f t="shared" si="8"/>
        <v>27733904.926658619</v>
      </c>
      <c r="AG70" s="12">
        <f t="shared" si="9"/>
        <v>13866952.46332931</v>
      </c>
      <c r="AH70" s="12">
        <f t="shared" si="10"/>
        <v>13866952.46332931</v>
      </c>
      <c r="AI70" s="12">
        <f t="shared" si="11"/>
        <v>13866952.46332931</v>
      </c>
      <c r="AJ70" s="12">
        <f t="shared" si="12"/>
        <v>138817383.67773584</v>
      </c>
      <c r="AK70" s="12" t="b">
        <f t="shared" si="13"/>
        <v>1</v>
      </c>
    </row>
    <row r="71" spans="1:37" x14ac:dyDescent="0.2">
      <c r="A71" s="1">
        <f>Returns!A58</f>
        <v>44135</v>
      </c>
      <c r="B71" s="20">
        <f t="shared" si="14"/>
        <v>138669524.63329309</v>
      </c>
      <c r="C71" s="18">
        <f t="shared" si="15"/>
        <v>0.38131215036507093</v>
      </c>
      <c r="D71" s="18">
        <f t="shared" si="17"/>
        <v>0.13510476068222613</v>
      </c>
      <c r="E71" s="18">
        <f t="shared" si="17"/>
        <v>5.229227037228653E-2</v>
      </c>
      <c r="F71" s="18">
        <f t="shared" si="17"/>
        <v>0.17347458505121446</v>
      </c>
      <c r="G71" s="18">
        <f t="shared" si="17"/>
        <v>9.5201854110442005E-2</v>
      </c>
      <c r="H71" s="18">
        <f t="shared" si="16"/>
        <v>8.05799533897813E-2</v>
      </c>
      <c r="I71" s="18">
        <f t="shared" si="16"/>
        <v>8.2034426028978508E-2</v>
      </c>
      <c r="J71" s="12">
        <f>J70*(1+Returns!B58)</f>
        <v>52004416.510956332</v>
      </c>
      <c r="K71" s="12">
        <f>K70*(1+Returns!C58)</f>
        <v>18425964.765100665</v>
      </c>
      <c r="L71" s="12">
        <f>L70*(1+Returns!D58)</f>
        <v>7131765.9459325643</v>
      </c>
      <c r="M71" s="12">
        <f>M70*(1+Returns!E58)</f>
        <v>23658948.623670872</v>
      </c>
      <c r="N71" s="12">
        <f>N70*(1+Returns!F58)</f>
        <v>12983894.872048225</v>
      </c>
      <c r="O71" s="12">
        <f>O70*(1+Returns!G58)</f>
        <v>10989719.195949061</v>
      </c>
      <c r="P71" s="12">
        <f>P70*(1+Returns!H58)</f>
        <v>11188084.23850064</v>
      </c>
      <c r="Q71" s="12">
        <f t="shared" si="2"/>
        <v>136382794.15215838</v>
      </c>
      <c r="R71" s="12">
        <f t="shared" si="3"/>
        <v>483022.39595556096</v>
      </c>
      <c r="S71" s="12">
        <f t="shared" si="4"/>
        <v>135899771.75620282</v>
      </c>
      <c r="T71" s="12"/>
      <c r="U71" t="b">
        <f t="shared" si="5"/>
        <v>1</v>
      </c>
      <c r="V71" s="12">
        <f>IF($U71=TRUE, $Q71*$C$7, $J71)</f>
        <v>40914838.245647512</v>
      </c>
      <c r="W71" s="12">
        <f>IF($U71=TRUE, $Q71*$C$8, $K71)</f>
        <v>20457419.122823756</v>
      </c>
      <c r="X71" s="12">
        <f>IF($U71=TRUE, $Q71*$C$9, $L71)</f>
        <v>6819139.7076079194</v>
      </c>
      <c r="Y71" s="12">
        <f>IF($U71=TRUE, $Q71*$C$10, $M71)</f>
        <v>27276558.830431677</v>
      </c>
      <c r="Z71" s="12">
        <f>IF($U71=TRUE, $Q71*$C$11, $N71)</f>
        <v>13638279.415215839</v>
      </c>
      <c r="AA71" s="12">
        <f>IF($U71=TRUE, $Q71*$C$12, $O71)</f>
        <v>13638279.415215839</v>
      </c>
      <c r="AB71" s="12">
        <f>IF($U71=TRUE, $Q71*$C$13, $P71)</f>
        <v>13638279.415215839</v>
      </c>
      <c r="AC71" s="12">
        <f>V71-(1-$B$3)</f>
        <v>40914837.249189176</v>
      </c>
      <c r="AD71" s="12">
        <f t="shared" si="6"/>
        <v>20384965.76343042</v>
      </c>
      <c r="AE71" s="12">
        <f t="shared" si="7"/>
        <v>6794988.587810141</v>
      </c>
      <c r="AF71" s="12">
        <f t="shared" si="8"/>
        <v>27179954.351240564</v>
      </c>
      <c r="AG71" s="12">
        <f t="shared" si="9"/>
        <v>13589977.175620282</v>
      </c>
      <c r="AH71" s="12">
        <f t="shared" si="10"/>
        <v>13589977.175620282</v>
      </c>
      <c r="AI71" s="12">
        <f t="shared" si="11"/>
        <v>13589977.175620282</v>
      </c>
      <c r="AJ71" s="12">
        <f t="shared" si="12"/>
        <v>136044677.47853115</v>
      </c>
      <c r="AK71" s="12" t="b">
        <f t="shared" si="13"/>
        <v>1</v>
      </c>
    </row>
    <row r="72" spans="1:37" x14ac:dyDescent="0.2">
      <c r="A72" s="1">
        <f>Returns!A59</f>
        <v>44165</v>
      </c>
      <c r="B72" s="20">
        <f t="shared" si="14"/>
        <v>135899771.75620282</v>
      </c>
      <c r="C72" s="18">
        <f t="shared" si="15"/>
        <v>0.38872854502068765</v>
      </c>
      <c r="D72" s="18">
        <f t="shared" si="17"/>
        <v>0.14193463801005518</v>
      </c>
      <c r="E72" s="18">
        <f t="shared" si="17"/>
        <v>5.2402883186371013E-2</v>
      </c>
      <c r="F72" s="18">
        <f t="shared" si="17"/>
        <v>0.15994665672569461</v>
      </c>
      <c r="G72" s="18">
        <f t="shared" si="17"/>
        <v>9.0645933454716679E-2</v>
      </c>
      <c r="H72" s="18">
        <f t="shared" si="16"/>
        <v>8.1259831650330488E-2</v>
      </c>
      <c r="I72" s="18">
        <f t="shared" si="16"/>
        <v>8.508151195214439E-2</v>
      </c>
      <c r="J72" s="12">
        <f>J71*(1+Returns!B59)</f>
        <v>57659249.193137415</v>
      </c>
      <c r="K72" s="12">
        <f>K71*(1+Returns!C59)</f>
        <v>21052852.348993283</v>
      </c>
      <c r="L72" s="12">
        <f>L71*(1+Returns!D59)</f>
        <v>7772804.2840821883</v>
      </c>
      <c r="M72" s="12">
        <f>M71*(1+Returns!E59)</f>
        <v>23724535.426811088</v>
      </c>
      <c r="N72" s="12">
        <f>N71*(1+Returns!F59)</f>
        <v>13445311.72809012</v>
      </c>
      <c r="O72" s="12">
        <f>O71*(1+Returns!G59)</f>
        <v>12053091.913457114</v>
      </c>
      <c r="P72" s="12">
        <f>P71*(1+Returns!H59)</f>
        <v>12619953.338174626</v>
      </c>
      <c r="Q72" s="12">
        <f t="shared" si="2"/>
        <v>148327798.23274583</v>
      </c>
      <c r="R72" s="12">
        <f t="shared" si="3"/>
        <v>525327.61874097481</v>
      </c>
      <c r="S72" s="12">
        <f t="shared" si="4"/>
        <v>147802470.61400485</v>
      </c>
      <c r="T72" s="12"/>
      <c r="U72" t="b">
        <f t="shared" si="5"/>
        <v>1</v>
      </c>
      <c r="V72" s="12">
        <f>IF($U72=TRUE, $Q72*$C$7, $J72)</f>
        <v>44498339.469823748</v>
      </c>
      <c r="W72" s="12">
        <f>IF($U72=TRUE, $Q72*$C$8, $K72)</f>
        <v>22249169.734911874</v>
      </c>
      <c r="X72" s="12">
        <f>IF($U72=TRUE, $Q72*$C$9, $L72)</f>
        <v>7416389.9116372913</v>
      </c>
      <c r="Y72" s="12">
        <f>IF($U72=TRUE, $Q72*$C$10, $M72)</f>
        <v>29665559.646549165</v>
      </c>
      <c r="Z72" s="12">
        <f>IF($U72=TRUE, $Q72*$C$11, $N72)</f>
        <v>14832779.823274583</v>
      </c>
      <c r="AA72" s="12">
        <f>IF($U72=TRUE, $Q72*$C$12, $O72)</f>
        <v>14832779.823274583</v>
      </c>
      <c r="AB72" s="12">
        <f>IF($U72=TRUE, $Q72*$C$13, $P72)</f>
        <v>14832779.823274583</v>
      </c>
      <c r="AC72" s="12">
        <f>V72-(1-$B$3)</f>
        <v>44498338.473365411</v>
      </c>
      <c r="AD72" s="12">
        <f t="shared" si="6"/>
        <v>22170370.592100728</v>
      </c>
      <c r="AE72" s="12">
        <f t="shared" si="7"/>
        <v>7390123.5307002421</v>
      </c>
      <c r="AF72" s="12">
        <f t="shared" si="8"/>
        <v>29560494.122800969</v>
      </c>
      <c r="AG72" s="12">
        <f t="shared" si="9"/>
        <v>14780247.061400484</v>
      </c>
      <c r="AH72" s="12">
        <f t="shared" si="10"/>
        <v>14780247.061400484</v>
      </c>
      <c r="AI72" s="12">
        <f t="shared" si="11"/>
        <v>14780247.061400484</v>
      </c>
      <c r="AJ72" s="12">
        <f t="shared" si="12"/>
        <v>147960067.9031688</v>
      </c>
      <c r="AK72" s="12" t="b">
        <f t="shared" si="13"/>
        <v>1</v>
      </c>
    </row>
    <row r="73" spans="1:37" x14ac:dyDescent="0.2">
      <c r="A73" s="1">
        <f>Returns!A60</f>
        <v>44196</v>
      </c>
      <c r="B73" s="20">
        <f t="shared" si="14"/>
        <v>147802470.61400485</v>
      </c>
      <c r="C73" s="18">
        <f t="shared" si="15"/>
        <v>0.391576985384955</v>
      </c>
      <c r="D73" s="18">
        <f t="shared" si="17"/>
        <v>0.14478735050587524</v>
      </c>
      <c r="E73" s="18">
        <f t="shared" si="17"/>
        <v>5.4531170909373865E-2</v>
      </c>
      <c r="F73" s="18">
        <f t="shared" si="17"/>
        <v>0.15487928682242411</v>
      </c>
      <c r="G73" s="18">
        <f t="shared" si="17"/>
        <v>8.8001742491742529E-2</v>
      </c>
      <c r="H73" s="18">
        <f t="shared" si="16"/>
        <v>8.1090442351696976E-2</v>
      </c>
      <c r="I73" s="18">
        <f t="shared" si="16"/>
        <v>8.5133021533932332E-2</v>
      </c>
      <c r="J73" s="12">
        <f>J72*(1+Returns!B60)</f>
        <v>59796161.032784089</v>
      </c>
      <c r="K73" s="12">
        <f>K72*(1+Returns!C60)</f>
        <v>22109899.328859054</v>
      </c>
      <c r="L73" s="12">
        <f>L72*(1+Returns!D60)</f>
        <v>8327237.8068838213</v>
      </c>
      <c r="M73" s="12">
        <f>M72*(1+Returns!E60)</f>
        <v>23650998.708138723</v>
      </c>
      <c r="N73" s="12">
        <f>N72*(1+Returns!F60)</f>
        <v>13438395.415472789</v>
      </c>
      <c r="O73" s="12">
        <f>O72*(1+Returns!G60)</f>
        <v>12382998.312106801</v>
      </c>
      <c r="P73" s="12">
        <f>P72*(1+Returns!H60)</f>
        <v>13000324.469646635</v>
      </c>
      <c r="Q73" s="12">
        <f t="shared" si="2"/>
        <v>152706015.07389191</v>
      </c>
      <c r="R73" s="12">
        <f t="shared" si="3"/>
        <v>540833.80338670057</v>
      </c>
      <c r="S73" s="12">
        <f t="shared" si="4"/>
        <v>152165181.27050522</v>
      </c>
      <c r="T73" s="12"/>
      <c r="U73" t="b">
        <f t="shared" si="5"/>
        <v>1</v>
      </c>
      <c r="V73" s="12">
        <f>IF($U73=TRUE, $Q73*$C$7, $J73)</f>
        <v>45811804.522167571</v>
      </c>
      <c r="W73" s="12">
        <f>IF($U73=TRUE, $Q73*$C$8, $K73)</f>
        <v>22905902.261083785</v>
      </c>
      <c r="X73" s="12">
        <f>IF($U73=TRUE, $Q73*$C$9, $L73)</f>
        <v>7635300.7536945958</v>
      </c>
      <c r="Y73" s="12">
        <f>IF($U73=TRUE, $Q73*$C$10, $M73)</f>
        <v>30541203.014778383</v>
      </c>
      <c r="Z73" s="12">
        <f>IF($U73=TRUE, $Q73*$C$11, $N73)</f>
        <v>15270601.507389192</v>
      </c>
      <c r="AA73" s="12">
        <f>IF($U73=TRUE, $Q73*$C$12, $O73)</f>
        <v>15270601.507389192</v>
      </c>
      <c r="AB73" s="12">
        <f>IF($U73=TRUE, $Q73*$C$13, $P73)</f>
        <v>15270601.507389192</v>
      </c>
      <c r="AC73" s="12">
        <f>V73-(1-$B$3)</f>
        <v>45811803.525709234</v>
      </c>
      <c r="AD73" s="12">
        <f t="shared" si="6"/>
        <v>22824777.190575782</v>
      </c>
      <c r="AE73" s="12">
        <f t="shared" si="7"/>
        <v>7608259.0635252604</v>
      </c>
      <c r="AF73" s="12">
        <f t="shared" si="8"/>
        <v>30433036.254101042</v>
      </c>
      <c r="AG73" s="12">
        <f t="shared" si="9"/>
        <v>15216518.127050521</v>
      </c>
      <c r="AH73" s="12">
        <f t="shared" si="10"/>
        <v>15216518.127050521</v>
      </c>
      <c r="AI73" s="12">
        <f t="shared" si="11"/>
        <v>15216518.127050521</v>
      </c>
      <c r="AJ73" s="12">
        <f t="shared" si="12"/>
        <v>152327430.41506287</v>
      </c>
      <c r="AK73" s="12" t="b">
        <f t="shared" si="13"/>
        <v>1</v>
      </c>
    </row>
    <row r="74" spans="1:37" x14ac:dyDescent="0.2">
      <c r="A74" s="1">
        <f>Returns!A61</f>
        <v>44227</v>
      </c>
      <c r="B74" s="20">
        <f t="shared" si="14"/>
        <v>152165181.27050522</v>
      </c>
      <c r="C74" s="18">
        <f t="shared" si="15"/>
        <v>0.39101036959605195</v>
      </c>
      <c r="D74" s="18">
        <f t="shared" si="17"/>
        <v>0.14492437878682221</v>
      </c>
      <c r="E74" s="18">
        <f t="shared" si="17"/>
        <v>5.6759310411482529E-2</v>
      </c>
      <c r="F74" s="18">
        <f t="shared" si="17"/>
        <v>0.15454172507198705</v>
      </c>
      <c r="G74" s="18">
        <f t="shared" si="17"/>
        <v>8.7160997953313252E-2</v>
      </c>
      <c r="H74" s="18">
        <f t="shared" si="16"/>
        <v>8.1837810449680776E-2</v>
      </c>
      <c r="I74" s="18">
        <f t="shared" si="16"/>
        <v>8.3765407730662211E-2</v>
      </c>
      <c r="J74" s="12">
        <f>J73*(1+Returns!B61)</f>
        <v>59186342.789196528</v>
      </c>
      <c r="K74" s="12">
        <f>K73*(1+Returns!C61)</f>
        <v>21936870.80536912</v>
      </c>
      <c r="L74" s="12">
        <f>L73*(1+Returns!D61)</f>
        <v>8591526.6287258491</v>
      </c>
      <c r="M74" s="12">
        <f>M73*(1+Returns!E61)</f>
        <v>23392626.453343932</v>
      </c>
      <c r="N74" s="12">
        <f>N73*(1+Returns!F61)</f>
        <v>13193360.339887373</v>
      </c>
      <c r="O74" s="12">
        <f>O73*(1+Returns!G61)</f>
        <v>12387601.657204241</v>
      </c>
      <c r="P74" s="12">
        <f>P73*(1+Returns!H61)</f>
        <v>12679377.636315877</v>
      </c>
      <c r="Q74" s="12">
        <f t="shared" si="2"/>
        <v>151367706.31004292</v>
      </c>
      <c r="R74" s="12">
        <f t="shared" si="3"/>
        <v>536093.95984806865</v>
      </c>
      <c r="S74" s="12">
        <f t="shared" si="4"/>
        <v>150831612.35019484</v>
      </c>
      <c r="T74" s="12"/>
      <c r="U74" t="b">
        <f t="shared" si="5"/>
        <v>1</v>
      </c>
      <c r="V74" s="12">
        <f>IF($U74=TRUE, $Q74*$C$7, $J74)</f>
        <v>45410311.893012874</v>
      </c>
      <c r="W74" s="12">
        <f>IF($U74=TRUE, $Q74*$C$8, $K74)</f>
        <v>22705155.946506437</v>
      </c>
      <c r="X74" s="12">
        <f>IF($U74=TRUE, $Q74*$C$9, $L74)</f>
        <v>7568385.3155021463</v>
      </c>
      <c r="Y74" s="12">
        <f>IF($U74=TRUE, $Q74*$C$10, $M74)</f>
        <v>30273541.262008585</v>
      </c>
      <c r="Z74" s="12">
        <f>IF($U74=TRUE, $Q74*$C$11, $N74)</f>
        <v>15136770.631004293</v>
      </c>
      <c r="AA74" s="12">
        <f>IF($U74=TRUE, $Q74*$C$12, $O74)</f>
        <v>15136770.631004293</v>
      </c>
      <c r="AB74" s="12">
        <f>IF($U74=TRUE, $Q74*$C$13, $P74)</f>
        <v>15136770.631004293</v>
      </c>
      <c r="AC74" s="12">
        <f>V74-(1-$B$3)</f>
        <v>45410310.896554537</v>
      </c>
      <c r="AD74" s="12">
        <f t="shared" si="6"/>
        <v>22624741.852529228</v>
      </c>
      <c r="AE74" s="12">
        <f t="shared" si="7"/>
        <v>7541580.6175097432</v>
      </c>
      <c r="AF74" s="12">
        <f t="shared" si="8"/>
        <v>30166322.470038973</v>
      </c>
      <c r="AG74" s="12">
        <f t="shared" si="9"/>
        <v>15083161.235019486</v>
      </c>
      <c r="AH74" s="12">
        <f t="shared" si="10"/>
        <v>15083161.235019486</v>
      </c>
      <c r="AI74" s="12">
        <f t="shared" si="11"/>
        <v>15083161.235019486</v>
      </c>
      <c r="AJ74" s="12">
        <f t="shared" si="12"/>
        <v>150992439.54169092</v>
      </c>
      <c r="AK74" s="12" t="b">
        <f t="shared" si="13"/>
        <v>1</v>
      </c>
    </row>
    <row r="75" spans="1:37" x14ac:dyDescent="0.2">
      <c r="A75" s="1">
        <f>Returns!A62</f>
        <v>44255</v>
      </c>
      <c r="B75" s="20">
        <f t="shared" si="14"/>
        <v>150831612.35019484</v>
      </c>
      <c r="C75" s="18">
        <f t="shared" si="15"/>
        <v>0.39706594740363343</v>
      </c>
      <c r="D75" s="18">
        <f t="shared" si="17"/>
        <v>0.14638602009338142</v>
      </c>
      <c r="E75" s="18">
        <f t="shared" si="17"/>
        <v>5.6519190364849634E-2</v>
      </c>
      <c r="F75" s="18">
        <f t="shared" si="17"/>
        <v>0.1489614407772317</v>
      </c>
      <c r="G75" s="18">
        <f t="shared" si="17"/>
        <v>8.3991809771974568E-2</v>
      </c>
      <c r="H75" s="18">
        <f t="shared" si="16"/>
        <v>8.3618566201459466E-2</v>
      </c>
      <c r="I75" s="18">
        <f t="shared" si="16"/>
        <v>8.3457025387469755E-2</v>
      </c>
      <c r="J75" s="12">
        <f>J74*(1+Returns!B62)</f>
        <v>60834041.107525051</v>
      </c>
      <c r="K75" s="12">
        <f>K74*(1+Returns!C62)</f>
        <v>22427642.617449656</v>
      </c>
      <c r="L75" s="12">
        <f>L74*(1+Returns!D62)</f>
        <v>8659243.5652109347</v>
      </c>
      <c r="M75" s="12">
        <f>M74*(1+Returns!E62)</f>
        <v>22822220.01391235</v>
      </c>
      <c r="N75" s="12">
        <f>N74*(1+Returns!F62)</f>
        <v>12868293.64687285</v>
      </c>
      <c r="O75" s="12">
        <f>O74*(1+Returns!G62)</f>
        <v>12811109.406168487</v>
      </c>
      <c r="P75" s="12">
        <f>P74*(1+Returns!H62)</f>
        <v>12786359.914092796</v>
      </c>
      <c r="Q75" s="12">
        <f t="shared" si="2"/>
        <v>153208910.27123213</v>
      </c>
      <c r="R75" s="12">
        <f t="shared" si="3"/>
        <v>542614.89054394711</v>
      </c>
      <c r="S75" s="12">
        <f t="shared" si="4"/>
        <v>152666295.38068819</v>
      </c>
      <c r="T75" s="12"/>
      <c r="U75" t="b">
        <f t="shared" si="5"/>
        <v>1</v>
      </c>
      <c r="V75" s="12">
        <f>IF($U75=TRUE, $Q75*$C$7, $J75)</f>
        <v>45962673.081369638</v>
      </c>
      <c r="W75" s="12">
        <f>IF($U75=TRUE, $Q75*$C$8, $K75)</f>
        <v>22981336.540684819</v>
      </c>
      <c r="X75" s="12">
        <f>IF($U75=TRUE, $Q75*$C$9, $L75)</f>
        <v>7660445.5135616064</v>
      </c>
      <c r="Y75" s="12">
        <f>IF($U75=TRUE, $Q75*$C$10, $M75)</f>
        <v>30641782.054246426</v>
      </c>
      <c r="Z75" s="12">
        <f>IF($U75=TRUE, $Q75*$C$11, $N75)</f>
        <v>15320891.027123213</v>
      </c>
      <c r="AA75" s="12">
        <f>IF($U75=TRUE, $Q75*$C$12, $O75)</f>
        <v>15320891.027123213</v>
      </c>
      <c r="AB75" s="12">
        <f>IF($U75=TRUE, $Q75*$C$13, $P75)</f>
        <v>15320891.027123213</v>
      </c>
      <c r="AC75" s="12">
        <f>V75-(1-$B$3)</f>
        <v>45962672.084911302</v>
      </c>
      <c r="AD75" s="12">
        <f t="shared" si="6"/>
        <v>22899944.307103228</v>
      </c>
      <c r="AE75" s="12">
        <f t="shared" si="7"/>
        <v>7633314.769034409</v>
      </c>
      <c r="AF75" s="12">
        <f t="shared" si="8"/>
        <v>30533259.076137636</v>
      </c>
      <c r="AG75" s="12">
        <f t="shared" si="9"/>
        <v>15266629.538068818</v>
      </c>
      <c r="AH75" s="12">
        <f t="shared" si="10"/>
        <v>15266629.538068818</v>
      </c>
      <c r="AI75" s="12">
        <f t="shared" si="11"/>
        <v>15266629.538068818</v>
      </c>
      <c r="AJ75" s="12">
        <f t="shared" si="12"/>
        <v>152829078.85139304</v>
      </c>
      <c r="AK75" s="12" t="b">
        <f t="shared" si="13"/>
        <v>1</v>
      </c>
    </row>
    <row r="76" spans="1:37" x14ac:dyDescent="0.2">
      <c r="A76" s="1">
        <f>Returns!A63</f>
        <v>44286</v>
      </c>
      <c r="B76" s="20">
        <f t="shared" si="14"/>
        <v>152666295.38068819</v>
      </c>
      <c r="C76" s="18">
        <f t="shared" si="15"/>
        <v>0.40512923209824048</v>
      </c>
      <c r="D76" s="18">
        <f t="shared" si="17"/>
        <v>0.14645929102273691</v>
      </c>
      <c r="E76" s="18">
        <f t="shared" si="17"/>
        <v>5.476089733422157E-2</v>
      </c>
      <c r="F76" s="18">
        <f t="shared" si="17"/>
        <v>0.14182783315103867</v>
      </c>
      <c r="G76" s="18">
        <f t="shared" si="17"/>
        <v>8.0603416253477361E-2</v>
      </c>
      <c r="H76" s="18">
        <f t="shared" si="16"/>
        <v>8.582428052829931E-2</v>
      </c>
      <c r="I76" s="18">
        <f t="shared" si="16"/>
        <v>8.5395049611985629E-2</v>
      </c>
      <c r="J76" s="12">
        <f>J75*(1+Returns!B63)</f>
        <v>63596059.113300487</v>
      </c>
      <c r="K76" s="12">
        <f>K75*(1+Returns!C63)</f>
        <v>22990771.812080525</v>
      </c>
      <c r="L76" s="12">
        <f>L75*(1+Returns!D63)</f>
        <v>8596213.2278819066</v>
      </c>
      <c r="M76" s="12">
        <f>M75*(1+Returns!E63)</f>
        <v>22263738.447778989</v>
      </c>
      <c r="N76" s="12">
        <f>N75*(1+Returns!F63)</f>
        <v>12652899.911075991</v>
      </c>
      <c r="O76" s="12">
        <f>O75*(1+Returns!G63)</f>
        <v>13472456.65183367</v>
      </c>
      <c r="P76" s="12">
        <f>P75*(1+Returns!H63)</f>
        <v>13405077.177423092</v>
      </c>
      <c r="Q76" s="12">
        <f t="shared" si="2"/>
        <v>156977216.34137467</v>
      </c>
      <c r="R76" s="12">
        <f t="shared" si="3"/>
        <v>555960.97454236867</v>
      </c>
      <c r="S76" s="12">
        <f t="shared" si="4"/>
        <v>156421255.36683229</v>
      </c>
      <c r="T76" s="12"/>
      <c r="U76" t="b">
        <f t="shared" si="5"/>
        <v>1</v>
      </c>
      <c r="V76" s="12">
        <f>IF($U76=TRUE, $Q76*$C$7, $J76)</f>
        <v>47093164.9024124</v>
      </c>
      <c r="W76" s="12">
        <f>IF($U76=TRUE, $Q76*$C$8, $K76)</f>
        <v>23546582.4512062</v>
      </c>
      <c r="X76" s="12">
        <f>IF($U76=TRUE, $Q76*$C$9, $L76)</f>
        <v>7848860.8170687333</v>
      </c>
      <c r="Y76" s="12">
        <f>IF($U76=TRUE, $Q76*$C$10, $M76)</f>
        <v>31395443.268274933</v>
      </c>
      <c r="Z76" s="12">
        <f>IF($U76=TRUE, $Q76*$C$11, $N76)</f>
        <v>15697721.634137467</v>
      </c>
      <c r="AA76" s="12">
        <f>IF($U76=TRUE, $Q76*$C$12, $O76)</f>
        <v>15697721.634137467</v>
      </c>
      <c r="AB76" s="12">
        <f>IF($U76=TRUE, $Q76*$C$13, $P76)</f>
        <v>15697721.634137467</v>
      </c>
      <c r="AC76" s="12">
        <f>V76-(1-$B$3)</f>
        <v>47093163.905954063</v>
      </c>
      <c r="AD76" s="12">
        <f t="shared" si="6"/>
        <v>23463188.305024844</v>
      </c>
      <c r="AE76" s="12">
        <f t="shared" si="7"/>
        <v>7821062.7683416149</v>
      </c>
      <c r="AF76" s="12">
        <f t="shared" si="8"/>
        <v>31284251.073366459</v>
      </c>
      <c r="AG76" s="12">
        <f t="shared" si="9"/>
        <v>15642125.53668323</v>
      </c>
      <c r="AH76" s="12">
        <f t="shared" si="10"/>
        <v>15642125.53668323</v>
      </c>
      <c r="AI76" s="12">
        <f t="shared" si="11"/>
        <v>15642125.53668323</v>
      </c>
      <c r="AJ76" s="12">
        <f t="shared" si="12"/>
        <v>156588042.66273668</v>
      </c>
      <c r="AK76" s="12" t="b">
        <f t="shared" si="13"/>
        <v>1</v>
      </c>
    </row>
    <row r="77" spans="1:37" x14ac:dyDescent="0.2">
      <c r="A77" s="1">
        <f>Returns!A64</f>
        <v>44316</v>
      </c>
      <c r="B77" s="20">
        <f t="shared" si="14"/>
        <v>156421255.36683229</v>
      </c>
      <c r="C77" s="18">
        <f t="shared" si="15"/>
        <v>0.41078707958795735</v>
      </c>
      <c r="D77" s="18">
        <f t="shared" si="17"/>
        <v>0.14521048983654428</v>
      </c>
      <c r="E77" s="18">
        <f t="shared" si="17"/>
        <v>5.3369333436405965E-2</v>
      </c>
      <c r="F77" s="18">
        <f t="shared" si="17"/>
        <v>0.13795939224287629</v>
      </c>
      <c r="G77" s="18">
        <f t="shared" si="17"/>
        <v>7.842806123068756E-2</v>
      </c>
      <c r="H77" s="18">
        <f t="shared" si="16"/>
        <v>8.9144889140386915E-2</v>
      </c>
      <c r="I77" s="18">
        <f t="shared" si="16"/>
        <v>8.5100754525141778E-2</v>
      </c>
      <c r="J77" s="12">
        <f>J76*(1+Returns!B64)</f>
        <v>66961100.730422959</v>
      </c>
      <c r="K77" s="12">
        <f>K76*(1+Returns!C64)</f>
        <v>23670302.013422806</v>
      </c>
      <c r="L77" s="12">
        <f>L76*(1+Returns!D64)</f>
        <v>8699566.0032328721</v>
      </c>
      <c r="M77" s="12">
        <f>M76*(1+Returns!E64)</f>
        <v>22488323.561562158</v>
      </c>
      <c r="N77" s="12">
        <f>N76*(1+Returns!F64)</f>
        <v>12784309.850805264</v>
      </c>
      <c r="O77" s="12">
        <f>O76*(1+Returns!G64)</f>
        <v>14531226.02424429</v>
      </c>
      <c r="P77" s="12">
        <f>P76*(1+Returns!H64)</f>
        <v>13872004.449869439</v>
      </c>
      <c r="Q77" s="12">
        <f t="shared" si="2"/>
        <v>163006832.63355976</v>
      </c>
      <c r="R77" s="12">
        <f t="shared" si="3"/>
        <v>577315.86557719088</v>
      </c>
      <c r="S77" s="12">
        <f t="shared" si="4"/>
        <v>162429516.76798257</v>
      </c>
      <c r="T77" s="12"/>
      <c r="U77" t="b">
        <f t="shared" si="5"/>
        <v>1</v>
      </c>
      <c r="V77" s="12">
        <f>IF($U77=TRUE, $Q77*$C$7, $J77)</f>
        <v>48902049.790067926</v>
      </c>
      <c r="W77" s="12">
        <f>IF($U77=TRUE, $Q77*$C$8, $K77)</f>
        <v>24451024.895033963</v>
      </c>
      <c r="X77" s="12">
        <f>IF($U77=TRUE, $Q77*$C$9, $L77)</f>
        <v>8150341.6316779889</v>
      </c>
      <c r="Y77" s="12">
        <f>IF($U77=TRUE, $Q77*$C$10, $M77)</f>
        <v>32601366.526711956</v>
      </c>
      <c r="Z77" s="12">
        <f>IF($U77=TRUE, $Q77*$C$11, $N77)</f>
        <v>16300683.263355978</v>
      </c>
      <c r="AA77" s="12">
        <f>IF($U77=TRUE, $Q77*$C$12, $O77)</f>
        <v>16300683.263355978</v>
      </c>
      <c r="AB77" s="12">
        <f>IF($U77=TRUE, $Q77*$C$13, $P77)</f>
        <v>16300683.263355978</v>
      </c>
      <c r="AC77" s="12">
        <f>V77-(1-$B$3)</f>
        <v>48902048.793609589</v>
      </c>
      <c r="AD77" s="12">
        <f t="shared" si="6"/>
        <v>24364427.515197385</v>
      </c>
      <c r="AE77" s="12">
        <f t="shared" si="7"/>
        <v>8121475.838399129</v>
      </c>
      <c r="AF77" s="12">
        <f t="shared" si="8"/>
        <v>32485903.353596516</v>
      </c>
      <c r="AG77" s="12">
        <f t="shared" si="9"/>
        <v>16242951.676798258</v>
      </c>
      <c r="AH77" s="12">
        <f t="shared" si="10"/>
        <v>16242951.676798258</v>
      </c>
      <c r="AI77" s="12">
        <f t="shared" si="11"/>
        <v>16242951.676798258</v>
      </c>
      <c r="AJ77" s="12">
        <f t="shared" si="12"/>
        <v>162602710.53119737</v>
      </c>
      <c r="AK77" s="12" t="b">
        <f t="shared" si="13"/>
        <v>1</v>
      </c>
    </row>
    <row r="78" spans="1:37" x14ac:dyDescent="0.2">
      <c r="A78" s="1">
        <f>Returns!A65</f>
        <v>44347</v>
      </c>
      <c r="B78" s="20">
        <f t="shared" si="14"/>
        <v>162429516.76798257</v>
      </c>
      <c r="C78" s="18">
        <f t="shared" si="15"/>
        <v>0.40907378507744152</v>
      </c>
      <c r="D78" s="18">
        <f t="shared" si="17"/>
        <v>0.14866350859289743</v>
      </c>
      <c r="E78" s="18">
        <f t="shared" si="17"/>
        <v>5.3669687565951849E-2</v>
      </c>
      <c r="F78" s="18">
        <f t="shared" si="17"/>
        <v>0.13696973898526055</v>
      </c>
      <c r="G78" s="18">
        <f t="shared" si="17"/>
        <v>7.7914982994315485E-2</v>
      </c>
      <c r="H78" s="18">
        <f t="shared" si="16"/>
        <v>8.890141544665342E-2</v>
      </c>
      <c r="I78" s="18">
        <f t="shared" si="16"/>
        <v>8.4806881337479739E-2</v>
      </c>
      <c r="J78" s="12">
        <f>J77*(1+Returns!B65)</f>
        <v>67401053.167997286</v>
      </c>
      <c r="K78" s="12">
        <f>K77*(1+Returns!C65)</f>
        <v>24494546.97986576</v>
      </c>
      <c r="L78" s="12">
        <f>L77*(1+Returns!D65)</f>
        <v>8842887.5110090878</v>
      </c>
      <c r="M78" s="12">
        <f>M77*(1+Returns!E65)</f>
        <v>22567822.71688363</v>
      </c>
      <c r="N78" s="12">
        <f>N77*(1+Returns!F65)</f>
        <v>12837664.262424672</v>
      </c>
      <c r="O78" s="12">
        <f>O77*(1+Returns!G65)</f>
        <v>14647844.100046037</v>
      </c>
      <c r="P78" s="12">
        <f>P77*(1+Returns!H65)</f>
        <v>13973208.077749107</v>
      </c>
      <c r="Q78" s="12">
        <f t="shared" si="2"/>
        <v>164765026.81597558</v>
      </c>
      <c r="R78" s="12">
        <f t="shared" si="3"/>
        <v>583542.80330658017</v>
      </c>
      <c r="S78" s="12">
        <f t="shared" si="4"/>
        <v>164181484.012669</v>
      </c>
      <c r="T78" s="12"/>
      <c r="U78" t="b">
        <f t="shared" si="5"/>
        <v>1</v>
      </c>
      <c r="V78" s="12">
        <f>IF($U78=TRUE, $Q78*$C$7, $J78)</f>
        <v>49429508.044792674</v>
      </c>
      <c r="W78" s="12">
        <f>IF($U78=TRUE, $Q78*$C$8, $K78)</f>
        <v>24714754.022396337</v>
      </c>
      <c r="X78" s="12">
        <f>IF($U78=TRUE, $Q78*$C$9, $L78)</f>
        <v>8238251.3407987794</v>
      </c>
      <c r="Y78" s="12">
        <f>IF($U78=TRUE, $Q78*$C$10, $M78)</f>
        <v>32953005.363195118</v>
      </c>
      <c r="Z78" s="12">
        <f>IF($U78=TRUE, $Q78*$C$11, $N78)</f>
        <v>16476502.681597559</v>
      </c>
      <c r="AA78" s="12">
        <f>IF($U78=TRUE, $Q78*$C$12, $O78)</f>
        <v>16476502.681597559</v>
      </c>
      <c r="AB78" s="12">
        <f>IF($U78=TRUE, $Q78*$C$13, $P78)</f>
        <v>16476502.681597559</v>
      </c>
      <c r="AC78" s="12">
        <f>V78-(1-$B$3)</f>
        <v>49429507.048334338</v>
      </c>
      <c r="AD78" s="12">
        <f t="shared" si="6"/>
        <v>24627222.60190035</v>
      </c>
      <c r="AE78" s="12">
        <f t="shared" si="7"/>
        <v>8209074.2006334504</v>
      </c>
      <c r="AF78" s="12">
        <f t="shared" si="8"/>
        <v>32836296.802533802</v>
      </c>
      <c r="AG78" s="12">
        <f t="shared" si="9"/>
        <v>16418148.401266901</v>
      </c>
      <c r="AH78" s="12">
        <f t="shared" si="10"/>
        <v>16418148.401266901</v>
      </c>
      <c r="AI78" s="12">
        <f t="shared" si="11"/>
        <v>16418148.401266901</v>
      </c>
      <c r="AJ78" s="12">
        <f t="shared" si="12"/>
        <v>164356545.85720265</v>
      </c>
      <c r="AK78" s="12" t="b">
        <f t="shared" si="13"/>
        <v>1</v>
      </c>
    </row>
    <row r="79" spans="1:37" x14ac:dyDescent="0.2">
      <c r="A79" s="1">
        <f>Returns!A66</f>
        <v>44377</v>
      </c>
      <c r="B79" s="20">
        <f t="shared" si="14"/>
        <v>164181484.012669</v>
      </c>
      <c r="C79" s="18">
        <f t="shared" si="15"/>
        <v>0.41346176762735565</v>
      </c>
      <c r="D79" s="18">
        <f t="shared" si="17"/>
        <v>0.14535742664155205</v>
      </c>
      <c r="E79" s="18">
        <f t="shared" si="17"/>
        <v>5.3558725885083133E-2</v>
      </c>
      <c r="F79" s="18">
        <f t="shared" si="17"/>
        <v>0.13668973622403055</v>
      </c>
      <c r="G79" s="18">
        <f t="shared" si="17"/>
        <v>7.8582195907107563E-2</v>
      </c>
      <c r="H79" s="18">
        <f t="shared" si="16"/>
        <v>9.0203793935086277E-2</v>
      </c>
      <c r="I79" s="18">
        <f t="shared" si="16"/>
        <v>8.2146353779784673E-2</v>
      </c>
      <c r="J79" s="12">
        <f>J78*(1+Returns!B66)</f>
        <v>68912858.841515198</v>
      </c>
      <c r="K79" s="12">
        <f>K78*(1+Returns!C66)</f>
        <v>24227139.261744954</v>
      </c>
      <c r="L79" s="12">
        <f>L78*(1+Returns!D66)</f>
        <v>8926786.4785424527</v>
      </c>
      <c r="M79" s="12">
        <f>M78*(1+Returns!E66)</f>
        <v>22782470.436251611</v>
      </c>
      <c r="N79" s="12">
        <f>N78*(1+Returns!F66)</f>
        <v>13097520.007904368</v>
      </c>
      <c r="O79" s="12">
        <f>O78*(1+Returns!G66)</f>
        <v>15034525.088230785</v>
      </c>
      <c r="P79" s="12">
        <f>P78*(1+Returns!H66)</f>
        <v>13691568.4244681</v>
      </c>
      <c r="Q79" s="12">
        <f t="shared" si="2"/>
        <v>166672868.53865749</v>
      </c>
      <c r="R79" s="12">
        <f t="shared" si="3"/>
        <v>590299.7427410786</v>
      </c>
      <c r="S79" s="12">
        <f t="shared" si="4"/>
        <v>166082568.79591641</v>
      </c>
      <c r="T79" s="12"/>
      <c r="U79" t="b">
        <f t="shared" si="5"/>
        <v>1</v>
      </c>
      <c r="V79" s="12">
        <f>IF($U79=TRUE, $Q79*$C$7, $J79)</f>
        <v>50001860.561597243</v>
      </c>
      <c r="W79" s="12">
        <f>IF($U79=TRUE, $Q79*$C$8, $K79)</f>
        <v>25000930.280798621</v>
      </c>
      <c r="X79" s="12">
        <f>IF($U79=TRUE, $Q79*$C$9, $L79)</f>
        <v>8333643.4269328751</v>
      </c>
      <c r="Y79" s="12">
        <f>IF($U79=TRUE, $Q79*$C$10, $M79)</f>
        <v>33334573.7077315</v>
      </c>
      <c r="Z79" s="12">
        <f>IF($U79=TRUE, $Q79*$C$11, $N79)</f>
        <v>16667286.85386575</v>
      </c>
      <c r="AA79" s="12">
        <f>IF($U79=TRUE, $Q79*$C$12, $O79)</f>
        <v>16667286.85386575</v>
      </c>
      <c r="AB79" s="12">
        <f>IF($U79=TRUE, $Q79*$C$13, $P79)</f>
        <v>16667286.85386575</v>
      </c>
      <c r="AC79" s="12">
        <f>V79-(1-$B$3)</f>
        <v>50001859.565138906</v>
      </c>
      <c r="AD79" s="12">
        <f t="shared" si="6"/>
        <v>24912385.319387458</v>
      </c>
      <c r="AE79" s="12">
        <f t="shared" si="7"/>
        <v>8304128.439795821</v>
      </c>
      <c r="AF79" s="12">
        <f t="shared" si="8"/>
        <v>33216513.759183284</v>
      </c>
      <c r="AG79" s="12">
        <f t="shared" si="9"/>
        <v>16608256.879591642</v>
      </c>
      <c r="AH79" s="12">
        <f t="shared" si="10"/>
        <v>16608256.879591642</v>
      </c>
      <c r="AI79" s="12">
        <f t="shared" si="11"/>
        <v>16608256.879591642</v>
      </c>
      <c r="AJ79" s="12">
        <f t="shared" si="12"/>
        <v>166259657.72228041</v>
      </c>
      <c r="AK79" s="12" t="b">
        <f t="shared" si="13"/>
        <v>1</v>
      </c>
    </row>
    <row r="80" spans="1:37" x14ac:dyDescent="0.2">
      <c r="A80" s="1">
        <f>Returns!A67</f>
        <v>44408</v>
      </c>
      <c r="B80" s="20">
        <f t="shared" si="14"/>
        <v>166082568.79591641</v>
      </c>
      <c r="C80" s="18">
        <f t="shared" si="15"/>
        <v>0.41667411441487784</v>
      </c>
      <c r="D80" s="18">
        <f t="shared" si="17"/>
        <v>0.14411134241011433</v>
      </c>
      <c r="E80" s="18">
        <f t="shared" si="17"/>
        <v>4.9297407908258498E-2</v>
      </c>
      <c r="F80" s="18">
        <f t="shared" si="17"/>
        <v>0.13715662741827012</v>
      </c>
      <c r="G80" s="18">
        <f t="shared" si="17"/>
        <v>7.8396782974960597E-2</v>
      </c>
      <c r="H80" s="18">
        <f t="shared" si="16"/>
        <v>9.2660754378201357E-2</v>
      </c>
      <c r="I80" s="18">
        <f t="shared" si="16"/>
        <v>8.1702970495317204E-2</v>
      </c>
      <c r="J80" s="12">
        <f>J79*(1+Returns!B67)</f>
        <v>70594530.321046367</v>
      </c>
      <c r="K80" s="12">
        <f>K79*(1+Returns!C67)</f>
        <v>24415897.651006699</v>
      </c>
      <c r="L80" s="12">
        <f>L79*(1+Returns!D67)</f>
        <v>8352156.3661701838</v>
      </c>
      <c r="M80" s="12">
        <f>M79*(1+Returns!E67)</f>
        <v>23237603.100467056</v>
      </c>
      <c r="N80" s="12">
        <f>N79*(1+Returns!F67)</f>
        <v>13282284.359253049</v>
      </c>
      <c r="O80" s="12">
        <f>O79*(1+Returns!G67)</f>
        <v>15698941.230627595</v>
      </c>
      <c r="P80" s="12">
        <f>P79*(1+Returns!H67)</f>
        <v>13842431.359218799</v>
      </c>
      <c r="Q80" s="12">
        <f t="shared" si="2"/>
        <v>169423844.38778976</v>
      </c>
      <c r="R80" s="12">
        <f t="shared" si="3"/>
        <v>600042.78220675548</v>
      </c>
      <c r="S80" s="12">
        <f t="shared" si="4"/>
        <v>168823801.60558301</v>
      </c>
      <c r="T80" s="12"/>
      <c r="U80" t="b">
        <f t="shared" si="5"/>
        <v>1</v>
      </c>
      <c r="V80" s="12">
        <f>IF($U80=TRUE, $Q80*$C$7, $J80)</f>
        <v>50827153.316336922</v>
      </c>
      <c r="W80" s="12">
        <f>IF($U80=TRUE, $Q80*$C$8, $K80)</f>
        <v>25413576.658168461</v>
      </c>
      <c r="X80" s="12">
        <f>IF($U80=TRUE, $Q80*$C$9, $L80)</f>
        <v>8471192.2193894889</v>
      </c>
      <c r="Y80" s="12">
        <f>IF($U80=TRUE, $Q80*$C$10, $M80)</f>
        <v>33884768.877557956</v>
      </c>
      <c r="Z80" s="12">
        <f>IF($U80=TRUE, $Q80*$C$11, $N80)</f>
        <v>16942384.438778978</v>
      </c>
      <c r="AA80" s="12">
        <f>IF($U80=TRUE, $Q80*$C$12, $O80)</f>
        <v>16942384.438778978</v>
      </c>
      <c r="AB80" s="12">
        <f>IF($U80=TRUE, $Q80*$C$13, $P80)</f>
        <v>16942384.438778978</v>
      </c>
      <c r="AC80" s="12">
        <f>V80-(1-$B$3)</f>
        <v>50827152.319878586</v>
      </c>
      <c r="AD80" s="12">
        <f t="shared" si="6"/>
        <v>25323570.240837447</v>
      </c>
      <c r="AE80" s="12">
        <f t="shared" si="7"/>
        <v>8441190.080279151</v>
      </c>
      <c r="AF80" s="12">
        <f t="shared" si="8"/>
        <v>33764760.321116604</v>
      </c>
      <c r="AG80" s="12">
        <f t="shared" si="9"/>
        <v>16882380.160558302</v>
      </c>
      <c r="AH80" s="12">
        <f t="shared" si="10"/>
        <v>16882380.160558302</v>
      </c>
      <c r="AI80" s="12">
        <f t="shared" si="11"/>
        <v>16882380.160558302</v>
      </c>
      <c r="AJ80" s="12">
        <f t="shared" si="12"/>
        <v>169003813.44378674</v>
      </c>
      <c r="AK80" s="12" t="b">
        <f t="shared" si="13"/>
        <v>1</v>
      </c>
    </row>
    <row r="81" spans="1:37" x14ac:dyDescent="0.2">
      <c r="A81" s="1">
        <f>Returns!A68</f>
        <v>44439</v>
      </c>
      <c r="B81" s="20">
        <f t="shared" si="14"/>
        <v>168823801.60558301</v>
      </c>
      <c r="C81" s="18">
        <f t="shared" si="15"/>
        <v>0.42176299425417096</v>
      </c>
      <c r="D81" s="18">
        <f t="shared" si="17"/>
        <v>0.14369592244259602</v>
      </c>
      <c r="E81" s="18">
        <f t="shared" si="17"/>
        <v>4.921723991663958E-2</v>
      </c>
      <c r="F81" s="18">
        <f t="shared" si="17"/>
        <v>0.13419306015448959</v>
      </c>
      <c r="G81" s="18">
        <f t="shared" si="17"/>
        <v>7.6663223246743864E-2</v>
      </c>
      <c r="H81" s="18">
        <f t="shared" si="16"/>
        <v>9.3055577841043277E-2</v>
      </c>
      <c r="I81" s="18">
        <f t="shared" si="16"/>
        <v>8.1411982144316802E-2</v>
      </c>
      <c r="J81" s="12">
        <f>J80*(1+Returns!B68)</f>
        <v>72697468.99949041</v>
      </c>
      <c r="K81" s="12">
        <f>K80*(1+Returns!C68)</f>
        <v>24768246.644295286</v>
      </c>
      <c r="L81" s="12">
        <f>L80*(1+Returns!D68)</f>
        <v>8483363.4572599865</v>
      </c>
      <c r="M81" s="12">
        <f>M80*(1+Returns!E68)</f>
        <v>23130279.240783066</v>
      </c>
      <c r="N81" s="12">
        <f>N80*(1+Returns!F68)</f>
        <v>13214109.277739365</v>
      </c>
      <c r="O81" s="12">
        <f>O80*(1+Returns!G68)</f>
        <v>16039588.76783797</v>
      </c>
      <c r="P81" s="12">
        <f>P80*(1+Returns!H68)</f>
        <v>14032632.375890356</v>
      </c>
      <c r="Q81" s="12">
        <f t="shared" ref="Q81:Q135" si="18">SUM(J81:P81)</f>
        <v>172365688.76329643</v>
      </c>
      <c r="R81" s="12">
        <f t="shared" ref="R81:R135" si="19">Q81*$B$3</f>
        <v>610461.81437000819</v>
      </c>
      <c r="S81" s="12">
        <f t="shared" ref="S81:S135" si="20">Q81-R81</f>
        <v>171755226.94892642</v>
      </c>
      <c r="T81" s="12"/>
      <c r="U81" t="b">
        <f t="shared" ref="U81:U135" si="21">OR(
  C81&lt;25%,C81&gt;35%,
  D81&lt;10%,D81&gt;20%,
  E81&lt;2%, E81&gt;7%,
  F81&lt;15%,F81&gt;25%,
  G81&lt;5%, G81&gt;15%,
  H81&lt;5%, H81&gt;15%,
  I81&lt;5%, I81&gt;15%
)</f>
        <v>1</v>
      </c>
      <c r="V81" s="12">
        <f>IF($U81=TRUE, $Q81*$C$7, $J81)</f>
        <v>51709706.628988929</v>
      </c>
      <c r="W81" s="12">
        <f>IF($U81=TRUE, $Q81*$C$8, $K81)</f>
        <v>25854853.314494465</v>
      </c>
      <c r="X81" s="12">
        <f>IF($U81=TRUE, $Q81*$C$9, $L81)</f>
        <v>8618284.4381648209</v>
      </c>
      <c r="Y81" s="12">
        <f>IF($U81=TRUE, $Q81*$C$10, $M81)</f>
        <v>34473137.752659284</v>
      </c>
      <c r="Z81" s="12">
        <f>IF($U81=TRUE, $Q81*$C$11, $N81)</f>
        <v>17236568.876329642</v>
      </c>
      <c r="AA81" s="12">
        <f>IF($U81=TRUE, $Q81*$C$12, $O81)</f>
        <v>17236568.876329642</v>
      </c>
      <c r="AB81" s="12">
        <f>IF($U81=TRUE, $Q81*$C$13, $P81)</f>
        <v>17236568.876329642</v>
      </c>
      <c r="AC81" s="12">
        <f>V81-(1-$B$3)</f>
        <v>51709705.632530592</v>
      </c>
      <c r="AD81" s="12">
        <f t="shared" ref="AD81:AD135" si="22">W81*(1-$B$3)</f>
        <v>25763284.042338964</v>
      </c>
      <c r="AE81" s="12">
        <f t="shared" ref="AE81:AE135" si="23">X81*(1-$B$3)</f>
        <v>8587761.3474463206</v>
      </c>
      <c r="AF81" s="12">
        <f t="shared" ref="AF81:AF135" si="24">Y81*(1-$B$3)</f>
        <v>34351045.389785282</v>
      </c>
      <c r="AG81" s="12">
        <f t="shared" ref="AG81:AG135" si="25">Z81*(1-$B$3)</f>
        <v>17175522.694892641</v>
      </c>
      <c r="AH81" s="12">
        <f t="shared" ref="AH81:AH135" si="26">AA81*(1-$B$3)</f>
        <v>17175522.694892641</v>
      </c>
      <c r="AI81" s="12">
        <f t="shared" ref="AI81:AI135" si="27">AB81*(1-$B$3)</f>
        <v>17175522.694892641</v>
      </c>
      <c r="AJ81" s="12">
        <f t="shared" ref="AJ81:AJ135" si="28">SUM(AC81:AI81)</f>
        <v>171938364.49677908</v>
      </c>
      <c r="AK81" s="12" t="b">
        <f t="shared" ref="AK81:AK135" si="29">OR(
  V81&lt;25%,V81&gt;35%,
  W81&lt;10%,W81&gt;20%,
  X81&lt;2%, X81&gt;7%,
  Y81&lt;15%,Y81&gt;25%,
  Z81&lt;5%, Z81&gt;15%,
  AA81&lt;5%,AA81&gt;15%,
  AB81&lt;5%, AB81&gt;15%
)</f>
        <v>1</v>
      </c>
    </row>
    <row r="82" spans="1:37" x14ac:dyDescent="0.2">
      <c r="A82" s="1">
        <f>Returns!A69</f>
        <v>44469</v>
      </c>
      <c r="B82" s="20">
        <f t="shared" ref="B82:B135" si="30">S81</f>
        <v>171755226.94892642</v>
      </c>
      <c r="C82" s="18">
        <f t="shared" ref="C82:C135" si="31">J82/Q82</f>
        <v>0.41717732634840388</v>
      </c>
      <c r="D82" s="18">
        <f t="shared" si="17"/>
        <v>0.14422012661488251</v>
      </c>
      <c r="E82" s="18">
        <f t="shared" si="17"/>
        <v>4.9085566621716509E-2</v>
      </c>
      <c r="F82" s="18">
        <f t="shared" si="17"/>
        <v>0.13690657219078728</v>
      </c>
      <c r="G82" s="18">
        <f t="shared" si="17"/>
        <v>7.8201165417774027E-2</v>
      </c>
      <c r="H82" s="18">
        <f t="shared" ref="H82:I135" si="32">O82/$Q82</f>
        <v>9.1051062408747607E-2</v>
      </c>
      <c r="I82" s="18">
        <f t="shared" si="32"/>
        <v>8.335818039768822E-2</v>
      </c>
      <c r="J82" s="12">
        <f>J81*(1+Returns!B69)</f>
        <v>69306947.511465952</v>
      </c>
      <c r="K82" s="12">
        <f>K81*(1+Returns!C69)</f>
        <v>23959731.543624144</v>
      </c>
      <c r="L82" s="12">
        <f>L81*(1+Returns!D69)</f>
        <v>8154735.5873812027</v>
      </c>
      <c r="M82" s="12">
        <f>M81*(1+Returns!E69)</f>
        <v>22744708.337473914</v>
      </c>
      <c r="N82" s="12">
        <f>N81*(1+Returns!F69)</f>
        <v>12991799.229325175</v>
      </c>
      <c r="O82" s="12">
        <f>O81*(1+Returns!G69)</f>
        <v>15126591.990179537</v>
      </c>
      <c r="P82" s="12">
        <f>P81*(1+Returns!H69)</f>
        <v>13848549.929698238</v>
      </c>
      <c r="Q82" s="12">
        <f t="shared" si="18"/>
        <v>166133064.12914816</v>
      </c>
      <c r="R82" s="12">
        <f t="shared" si="19"/>
        <v>588387.93545739981</v>
      </c>
      <c r="S82" s="12">
        <f t="shared" si="20"/>
        <v>165544676.19369075</v>
      </c>
      <c r="T82" s="12"/>
      <c r="U82" t="b">
        <f t="shared" si="21"/>
        <v>1</v>
      </c>
      <c r="V82" s="12">
        <f>IF($U82=TRUE, $Q82*$C$7, $J82)</f>
        <v>49839919.238744445</v>
      </c>
      <c r="W82" s="12">
        <f>IF($U82=TRUE, $Q82*$C$8, $K82)</f>
        <v>24919959.619372223</v>
      </c>
      <c r="X82" s="12">
        <f>IF($U82=TRUE, $Q82*$C$9, $L82)</f>
        <v>8306653.2064574081</v>
      </c>
      <c r="Y82" s="12">
        <f>IF($U82=TRUE, $Q82*$C$10, $M82)</f>
        <v>33226612.825829633</v>
      </c>
      <c r="Z82" s="12">
        <f>IF($U82=TRUE, $Q82*$C$11, $N82)</f>
        <v>16613306.412914816</v>
      </c>
      <c r="AA82" s="12">
        <f>IF($U82=TRUE, $Q82*$C$12, $O82)</f>
        <v>16613306.412914816</v>
      </c>
      <c r="AB82" s="12">
        <f>IF($U82=TRUE, $Q82*$C$13, $P82)</f>
        <v>16613306.412914816</v>
      </c>
      <c r="AC82" s="12">
        <f>V82-(1-$B$3)</f>
        <v>49839918.242286108</v>
      </c>
      <c r="AD82" s="12">
        <f t="shared" si="22"/>
        <v>24831701.429053612</v>
      </c>
      <c r="AE82" s="12">
        <f t="shared" si="23"/>
        <v>8277233.8096845383</v>
      </c>
      <c r="AF82" s="12">
        <f t="shared" si="24"/>
        <v>33108935.238738153</v>
      </c>
      <c r="AG82" s="12">
        <f t="shared" si="25"/>
        <v>16554467.619369077</v>
      </c>
      <c r="AH82" s="12">
        <f t="shared" si="26"/>
        <v>16554467.619369077</v>
      </c>
      <c r="AI82" s="12">
        <f t="shared" si="27"/>
        <v>16554467.619369077</v>
      </c>
      <c r="AJ82" s="12">
        <f t="shared" si="28"/>
        <v>165721191.57786965</v>
      </c>
      <c r="AK82" s="12" t="b">
        <f t="shared" si="29"/>
        <v>1</v>
      </c>
    </row>
    <row r="83" spans="1:37" x14ac:dyDescent="0.2">
      <c r="A83" s="1">
        <f>Returns!A70</f>
        <v>44500</v>
      </c>
      <c r="B83" s="20">
        <f t="shared" si="30"/>
        <v>165544676.19369075</v>
      </c>
      <c r="C83" s="18">
        <f t="shared" si="31"/>
        <v>0.42759221265962916</v>
      </c>
      <c r="D83" s="18">
        <f t="shared" si="17"/>
        <v>0.14253209204031789</v>
      </c>
      <c r="E83" s="18">
        <f t="shared" si="17"/>
        <v>4.75151397882295E-2</v>
      </c>
      <c r="F83" s="18">
        <f t="shared" si="17"/>
        <v>0.13054766147180893</v>
      </c>
      <c r="G83" s="18">
        <f t="shared" si="17"/>
        <v>7.5294895737307785E-2</v>
      </c>
      <c r="H83" s="18">
        <f t="shared" si="32"/>
        <v>9.3430527465627689E-2</v>
      </c>
      <c r="I83" s="18">
        <f t="shared" si="32"/>
        <v>8.3087470837079208E-2</v>
      </c>
      <c r="J83" s="12">
        <f>J82*(1+Returns!B70)</f>
        <v>74171904.195685416</v>
      </c>
      <c r="K83" s="12">
        <f>K82*(1+Returns!C70)</f>
        <v>24724203.020134214</v>
      </c>
      <c r="L83" s="12">
        <f>L82*(1+Returns!D70)</f>
        <v>8242171.6108814022</v>
      </c>
      <c r="M83" s="12">
        <f>M82*(1+Returns!E70)</f>
        <v>22645334.393322069</v>
      </c>
      <c r="N83" s="12">
        <f>N82*(1+Returns!F70)</f>
        <v>13060962.355498476</v>
      </c>
      <c r="O83" s="12">
        <f>O82*(1+Returns!G70)</f>
        <v>16206843.639711533</v>
      </c>
      <c r="P83" s="12">
        <f>P82*(1+Returns!H70)</f>
        <v>14412694.488651283</v>
      </c>
      <c r="Q83" s="12">
        <f t="shared" si="18"/>
        <v>173464113.70388436</v>
      </c>
      <c r="R83" s="12">
        <f t="shared" si="19"/>
        <v>614352.06936792377</v>
      </c>
      <c r="S83" s="12">
        <f t="shared" si="20"/>
        <v>172849761.63451645</v>
      </c>
      <c r="T83" s="12"/>
      <c r="U83" t="b">
        <f t="shared" si="21"/>
        <v>1</v>
      </c>
      <c r="V83" s="12">
        <f>IF($U83=TRUE, $Q83*$C$7, $J83)</f>
        <v>52039234.111165307</v>
      </c>
      <c r="W83" s="12">
        <f>IF($U83=TRUE, $Q83*$C$8, $K83)</f>
        <v>26019617.055582654</v>
      </c>
      <c r="X83" s="12">
        <f>IF($U83=TRUE, $Q83*$C$9, $L83)</f>
        <v>8673205.6851942185</v>
      </c>
      <c r="Y83" s="12">
        <f>IF($U83=TRUE, $Q83*$C$10, $M83)</f>
        <v>34692822.740776874</v>
      </c>
      <c r="Z83" s="12">
        <f>IF($U83=TRUE, $Q83*$C$11, $N83)</f>
        <v>17346411.370388437</v>
      </c>
      <c r="AA83" s="12">
        <f>IF($U83=TRUE, $Q83*$C$12, $O83)</f>
        <v>17346411.370388437</v>
      </c>
      <c r="AB83" s="12">
        <f>IF($U83=TRUE, $Q83*$C$13, $P83)</f>
        <v>17346411.370388437</v>
      </c>
      <c r="AC83" s="12">
        <f>V83-(1-$B$3)</f>
        <v>52039233.114706971</v>
      </c>
      <c r="AD83" s="12">
        <f t="shared" si="22"/>
        <v>25927464.245177466</v>
      </c>
      <c r="AE83" s="12">
        <f t="shared" si="23"/>
        <v>8642488.0817258228</v>
      </c>
      <c r="AF83" s="12">
        <f t="shared" si="24"/>
        <v>34569952.326903291</v>
      </c>
      <c r="AG83" s="12">
        <f t="shared" si="25"/>
        <v>17284976.163451646</v>
      </c>
      <c r="AH83" s="12">
        <f t="shared" si="26"/>
        <v>17284976.163451646</v>
      </c>
      <c r="AI83" s="12">
        <f t="shared" si="27"/>
        <v>17284976.163451646</v>
      </c>
      <c r="AJ83" s="12">
        <f t="shared" si="28"/>
        <v>173034066.25886849</v>
      </c>
      <c r="AK83" s="12" t="b">
        <f t="shared" si="29"/>
        <v>1</v>
      </c>
    </row>
    <row r="84" spans="1:37" x14ac:dyDescent="0.2">
      <c r="A84" s="1">
        <f>Returns!A71</f>
        <v>44530</v>
      </c>
      <c r="B84" s="20">
        <f t="shared" si="30"/>
        <v>172849761.63451645</v>
      </c>
      <c r="C84" s="18">
        <f t="shared" si="31"/>
        <v>0.43146709081234119</v>
      </c>
      <c r="D84" s="18">
        <f t="shared" si="17"/>
        <v>0.13840299627482544</v>
      </c>
      <c r="E84" s="18">
        <f t="shared" si="17"/>
        <v>4.6359703723877203E-2</v>
      </c>
      <c r="F84" s="18">
        <f t="shared" si="17"/>
        <v>0.13415018214897997</v>
      </c>
      <c r="G84" s="18">
        <f t="shared" si="17"/>
        <v>7.6355354609379533E-2</v>
      </c>
      <c r="H84" s="18">
        <f t="shared" si="32"/>
        <v>9.3025545827640888E-2</v>
      </c>
      <c r="I84" s="18">
        <f t="shared" si="32"/>
        <v>8.0239126602955652E-2</v>
      </c>
      <c r="J84" s="12">
        <f>J83*(1+Returns!B71)</f>
        <v>73575675.216578916</v>
      </c>
      <c r="K84" s="12">
        <f>K83*(1+Returns!C71)</f>
        <v>23601090.604026832</v>
      </c>
      <c r="L84" s="12">
        <f>L83*(1+Returns!D71)</f>
        <v>7905461.5681183953</v>
      </c>
      <c r="M84" s="12">
        <f>M83*(1+Returns!E71)</f>
        <v>22875881.943754345</v>
      </c>
      <c r="N84" s="12">
        <f>N83*(1+Returns!F71)</f>
        <v>13020452.524454113</v>
      </c>
      <c r="O84" s="12">
        <f>O83*(1+Returns!G71)</f>
        <v>15863127.205769533</v>
      </c>
      <c r="P84" s="12">
        <f>P83*(1+Returns!H71)</f>
        <v>13682730.489331124</v>
      </c>
      <c r="Q84" s="12">
        <f t="shared" si="18"/>
        <v>170524419.55203328</v>
      </c>
      <c r="R84" s="12">
        <f t="shared" si="19"/>
        <v>603940.65258011792</v>
      </c>
      <c r="S84" s="12">
        <f t="shared" si="20"/>
        <v>169920478.89945316</v>
      </c>
      <c r="T84" s="12"/>
      <c r="U84" t="b">
        <f t="shared" si="21"/>
        <v>1</v>
      </c>
      <c r="V84" s="12">
        <f>IF($U84=TRUE, $Q84*$C$7, $J84)</f>
        <v>51157325.865609981</v>
      </c>
      <c r="W84" s="12">
        <f>IF($U84=TRUE, $Q84*$C$8, $K84)</f>
        <v>25578662.932804991</v>
      </c>
      <c r="X84" s="12">
        <f>IF($U84=TRUE, $Q84*$C$9, $L84)</f>
        <v>8526220.9776016641</v>
      </c>
      <c r="Y84" s="12">
        <f>IF($U84=TRUE, $Q84*$C$10, $M84)</f>
        <v>34104883.910406657</v>
      </c>
      <c r="Z84" s="12">
        <f>IF($U84=TRUE, $Q84*$C$11, $N84)</f>
        <v>17052441.955203328</v>
      </c>
      <c r="AA84" s="12">
        <f>IF($U84=TRUE, $Q84*$C$12, $O84)</f>
        <v>17052441.955203328</v>
      </c>
      <c r="AB84" s="12">
        <f>IF($U84=TRUE, $Q84*$C$13, $P84)</f>
        <v>17052441.955203328</v>
      </c>
      <c r="AC84" s="12">
        <f>V84-(1-$B$3)</f>
        <v>51157324.869151644</v>
      </c>
      <c r="AD84" s="12">
        <f t="shared" si="22"/>
        <v>25488071.834917974</v>
      </c>
      <c r="AE84" s="12">
        <f t="shared" si="23"/>
        <v>8496023.9449726585</v>
      </c>
      <c r="AF84" s="12">
        <f t="shared" si="24"/>
        <v>33984095.779890634</v>
      </c>
      <c r="AG84" s="12">
        <f t="shared" si="25"/>
        <v>16992047.889945317</v>
      </c>
      <c r="AH84" s="12">
        <f t="shared" si="26"/>
        <v>16992047.889945317</v>
      </c>
      <c r="AI84" s="12">
        <f t="shared" si="27"/>
        <v>16992047.889945317</v>
      </c>
      <c r="AJ84" s="12">
        <f t="shared" si="28"/>
        <v>170101660.09876889</v>
      </c>
      <c r="AK84" s="12" t="b">
        <f t="shared" si="29"/>
        <v>1</v>
      </c>
    </row>
    <row r="85" spans="1:37" x14ac:dyDescent="0.2">
      <c r="A85" s="1">
        <f>Returns!A72</f>
        <v>44561</v>
      </c>
      <c r="B85" s="20">
        <f t="shared" si="30"/>
        <v>169920478.89945316</v>
      </c>
      <c r="C85" s="18">
        <f t="shared" si="31"/>
        <v>0.43525391923266382</v>
      </c>
      <c r="D85" s="18">
        <f t="shared" si="17"/>
        <v>0.13691532870003761</v>
      </c>
      <c r="E85" s="18">
        <f t="shared" si="17"/>
        <v>4.5376795034494433E-2</v>
      </c>
      <c r="F85" s="18">
        <f t="shared" si="17"/>
        <v>0.12857072210408454</v>
      </c>
      <c r="G85" s="18">
        <f t="shared" si="17"/>
        <v>7.3464563492060972E-2</v>
      </c>
      <c r="H85" s="18">
        <f t="shared" si="32"/>
        <v>9.8405074949855231E-2</v>
      </c>
      <c r="I85" s="18">
        <f t="shared" si="32"/>
        <v>8.201359648680337E-2</v>
      </c>
      <c r="J85" s="12">
        <f>J84*(1+Returns!B72)</f>
        <v>76978087.311024323</v>
      </c>
      <c r="K85" s="12">
        <f>K84*(1+Returns!C72)</f>
        <v>24214555.369127505</v>
      </c>
      <c r="L85" s="12">
        <f>L84*(1+Returns!D72)</f>
        <v>8025243.9684353154</v>
      </c>
      <c r="M85" s="12">
        <f>M84*(1+Returns!E72)</f>
        <v>22738745.900824804</v>
      </c>
      <c r="N85" s="12">
        <f>N84*(1+Returns!F72)</f>
        <v>12992787.273984792</v>
      </c>
      <c r="O85" s="12">
        <f>O84*(1+Returns!G72)</f>
        <v>17403713.365045276</v>
      </c>
      <c r="P85" s="12">
        <f>P84*(1+Returns!H72)</f>
        <v>14504751.162682895</v>
      </c>
      <c r="Q85" s="12">
        <f t="shared" si="18"/>
        <v>176857884.35112491</v>
      </c>
      <c r="R85" s="12">
        <f t="shared" si="19"/>
        <v>626371.67374356743</v>
      </c>
      <c r="S85" s="12">
        <f t="shared" si="20"/>
        <v>176231512.67738134</v>
      </c>
      <c r="T85" s="12"/>
      <c r="U85" t="b">
        <f t="shared" si="21"/>
        <v>1</v>
      </c>
      <c r="V85" s="12">
        <f>IF($U85=TRUE, $Q85*$C$7, $J85)</f>
        <v>53057365.305337474</v>
      </c>
      <c r="W85" s="12">
        <f>IF($U85=TRUE, $Q85*$C$8, $K85)</f>
        <v>26528682.652668737</v>
      </c>
      <c r="X85" s="12">
        <f>IF($U85=TRUE, $Q85*$C$9, $L85)</f>
        <v>8842894.2175562456</v>
      </c>
      <c r="Y85" s="12">
        <f>IF($U85=TRUE, $Q85*$C$10, $M85)</f>
        <v>35371576.870224983</v>
      </c>
      <c r="Z85" s="12">
        <f>IF($U85=TRUE, $Q85*$C$11, $N85)</f>
        <v>17685788.435112491</v>
      </c>
      <c r="AA85" s="12">
        <f>IF($U85=TRUE, $Q85*$C$12, $O85)</f>
        <v>17685788.435112491</v>
      </c>
      <c r="AB85" s="12">
        <f>IF($U85=TRUE, $Q85*$C$13, $P85)</f>
        <v>17685788.435112491</v>
      </c>
      <c r="AC85" s="12">
        <f>V85-(1-$B$3)</f>
        <v>53057364.308879137</v>
      </c>
      <c r="AD85" s="12">
        <f t="shared" si="22"/>
        <v>26434726.901607201</v>
      </c>
      <c r="AE85" s="12">
        <f t="shared" si="23"/>
        <v>8811575.6338690668</v>
      </c>
      <c r="AF85" s="12">
        <f t="shared" si="24"/>
        <v>35246302.535476267</v>
      </c>
      <c r="AG85" s="12">
        <f t="shared" si="25"/>
        <v>17623151.267738134</v>
      </c>
      <c r="AH85" s="12">
        <f t="shared" si="26"/>
        <v>17623151.267738134</v>
      </c>
      <c r="AI85" s="12">
        <f t="shared" si="27"/>
        <v>17623151.267738134</v>
      </c>
      <c r="AJ85" s="12">
        <f t="shared" si="28"/>
        <v>176419423.18304607</v>
      </c>
      <c r="AK85" s="12" t="b">
        <f t="shared" si="29"/>
        <v>1</v>
      </c>
    </row>
    <row r="86" spans="1:37" x14ac:dyDescent="0.2">
      <c r="A86" s="1">
        <f>Returns!A73</f>
        <v>44592</v>
      </c>
      <c r="B86" s="20">
        <f t="shared" si="30"/>
        <v>176231512.67738134</v>
      </c>
      <c r="C86" s="18">
        <f t="shared" si="31"/>
        <v>0.43044700887888643</v>
      </c>
      <c r="D86" s="18">
        <f t="shared" si="17"/>
        <v>0.13776060234902904</v>
      </c>
      <c r="E86" s="18">
        <f t="shared" si="17"/>
        <v>4.7364545841393275E-2</v>
      </c>
      <c r="F86" s="18">
        <f t="shared" si="17"/>
        <v>0.13140253309697414</v>
      </c>
      <c r="G86" s="18">
        <f t="shared" si="17"/>
        <v>7.3945289624359561E-2</v>
      </c>
      <c r="H86" s="18">
        <f t="shared" si="32"/>
        <v>9.4086129366281329E-2</v>
      </c>
      <c r="I86" s="18">
        <f t="shared" si="32"/>
        <v>8.4993890843076264E-2</v>
      </c>
      <c r="J86" s="12">
        <f>J85*(1+Returns!B73)</f>
        <v>72918294.547307655</v>
      </c>
      <c r="K86" s="12">
        <f>K85*(1+Returns!C73)</f>
        <v>23336828.859060392</v>
      </c>
      <c r="L86" s="12">
        <f>L85*(1+Returns!D73)</f>
        <v>8023616.9226905694</v>
      </c>
      <c r="M86" s="12">
        <f>M85*(1+Returns!E73)</f>
        <v>22259763.490012921</v>
      </c>
      <c r="N86" s="12">
        <f>N85*(1+Returns!F73)</f>
        <v>12526430.194644805</v>
      </c>
      <c r="O86" s="12">
        <f>O85*(1+Returns!G73)</f>
        <v>15938315.175694346</v>
      </c>
      <c r="P86" s="12">
        <f>P85*(1+Returns!H73)</f>
        <v>14398077.903617058</v>
      </c>
      <c r="Q86" s="12">
        <f t="shared" si="18"/>
        <v>169401327.09302774</v>
      </c>
      <c r="R86" s="12">
        <f t="shared" si="19"/>
        <v>599963.03345447325</v>
      </c>
      <c r="S86" s="12">
        <f t="shared" si="20"/>
        <v>168801364.05957326</v>
      </c>
      <c r="T86" s="12"/>
      <c r="U86" t="b">
        <f t="shared" si="21"/>
        <v>1</v>
      </c>
      <c r="V86" s="12">
        <f>IF($U86=TRUE, $Q86*$C$7, $J86)</f>
        <v>50820398.127908319</v>
      </c>
      <c r="W86" s="12">
        <f>IF($U86=TRUE, $Q86*$C$8, $K86)</f>
        <v>25410199.06395416</v>
      </c>
      <c r="X86" s="12">
        <f>IF($U86=TRUE, $Q86*$C$9, $L86)</f>
        <v>8470066.3546513878</v>
      </c>
      <c r="Y86" s="12">
        <f>IF($U86=TRUE, $Q86*$C$10, $M86)</f>
        <v>33880265.418605551</v>
      </c>
      <c r="Z86" s="12">
        <f>IF($U86=TRUE, $Q86*$C$11, $N86)</f>
        <v>16940132.709302776</v>
      </c>
      <c r="AA86" s="12">
        <f>IF($U86=TRUE, $Q86*$C$12, $O86)</f>
        <v>16940132.709302776</v>
      </c>
      <c r="AB86" s="12">
        <f>IF($U86=TRUE, $Q86*$C$13, $P86)</f>
        <v>16940132.709302776</v>
      </c>
      <c r="AC86" s="12">
        <f>V86-(1-$B$3)</f>
        <v>50820397.131449983</v>
      </c>
      <c r="AD86" s="12">
        <f t="shared" si="22"/>
        <v>25320204.608935989</v>
      </c>
      <c r="AE86" s="12">
        <f t="shared" si="23"/>
        <v>8440068.202978665</v>
      </c>
      <c r="AF86" s="12">
        <f t="shared" si="24"/>
        <v>33760272.81191466</v>
      </c>
      <c r="AG86" s="12">
        <f t="shared" si="25"/>
        <v>16880136.40595733</v>
      </c>
      <c r="AH86" s="12">
        <f t="shared" si="26"/>
        <v>16880136.40595733</v>
      </c>
      <c r="AI86" s="12">
        <f t="shared" si="27"/>
        <v>16880136.40595733</v>
      </c>
      <c r="AJ86" s="12">
        <f t="shared" si="28"/>
        <v>168981351.97315133</v>
      </c>
      <c r="AK86" s="12" t="b">
        <f t="shared" si="29"/>
        <v>1</v>
      </c>
    </row>
    <row r="87" spans="1:37" x14ac:dyDescent="0.2">
      <c r="A87" s="1">
        <f>Returns!A74</f>
        <v>44620</v>
      </c>
      <c r="B87" s="20">
        <f t="shared" si="30"/>
        <v>168801364.05957326</v>
      </c>
      <c r="C87" s="18">
        <f t="shared" si="31"/>
        <v>0.42773110815577747</v>
      </c>
      <c r="D87" s="18">
        <f t="shared" si="17"/>
        <v>0.13620579034623712</v>
      </c>
      <c r="E87" s="18">
        <f t="shared" si="17"/>
        <v>4.6401959845840828E-2</v>
      </c>
      <c r="F87" s="18">
        <f t="shared" si="17"/>
        <v>0.13400398226205723</v>
      </c>
      <c r="G87" s="18">
        <f t="shared" si="17"/>
        <v>7.395765384195109E-2</v>
      </c>
      <c r="H87" s="18">
        <f t="shared" si="32"/>
        <v>9.2978442595216454E-2</v>
      </c>
      <c r="I87" s="18">
        <f t="shared" si="32"/>
        <v>8.8721062952919802E-2</v>
      </c>
      <c r="J87" s="12">
        <f>J86*(1+Returns!B74)</f>
        <v>70766094.785119787</v>
      </c>
      <c r="K87" s="12">
        <f>K86*(1+Returns!C74)</f>
        <v>22534605.704697974</v>
      </c>
      <c r="L87" s="12">
        <f>L86*(1+Returns!D74)</f>
        <v>7676985.4379405873</v>
      </c>
      <c r="M87" s="12">
        <f>M86*(1+Returns!E74)</f>
        <v>22170326.940276261</v>
      </c>
      <c r="N87" s="12">
        <f>N86*(1+Returns!F74)</f>
        <v>12235945.064716931</v>
      </c>
      <c r="O87" s="12">
        <f>O86*(1+Returns!G74)</f>
        <v>15382844.867270224</v>
      </c>
      <c r="P87" s="12">
        <f>P86*(1+Returns!H74)</f>
        <v>14678481.482053732</v>
      </c>
      <c r="Q87" s="12">
        <f t="shared" si="18"/>
        <v>165445284.28207549</v>
      </c>
      <c r="R87" s="12">
        <f t="shared" si="19"/>
        <v>585952.04849901737</v>
      </c>
      <c r="S87" s="12">
        <f t="shared" si="20"/>
        <v>164859332.23357648</v>
      </c>
      <c r="T87" s="12"/>
      <c r="U87" t="b">
        <f t="shared" si="21"/>
        <v>1</v>
      </c>
      <c r="V87" s="12">
        <f>IF($U87=TRUE, $Q87*$C$7, $J87)</f>
        <v>49633585.284622647</v>
      </c>
      <c r="W87" s="12">
        <f>IF($U87=TRUE, $Q87*$C$8, $K87)</f>
        <v>24816792.642311323</v>
      </c>
      <c r="X87" s="12">
        <f>IF($U87=TRUE, $Q87*$C$9, $L87)</f>
        <v>8272264.2141037751</v>
      </c>
      <c r="Y87" s="12">
        <f>IF($U87=TRUE, $Q87*$C$10, $M87)</f>
        <v>33089056.8564151</v>
      </c>
      <c r="Z87" s="12">
        <f>IF($U87=TRUE, $Q87*$C$11, $N87)</f>
        <v>16544528.42820755</v>
      </c>
      <c r="AA87" s="12">
        <f>IF($U87=TRUE, $Q87*$C$12, $O87)</f>
        <v>16544528.42820755</v>
      </c>
      <c r="AB87" s="12">
        <f>IF($U87=TRUE, $Q87*$C$13, $P87)</f>
        <v>16544528.42820755</v>
      </c>
      <c r="AC87" s="12">
        <f>V87-(1-$B$3)</f>
        <v>49633584.28816431</v>
      </c>
      <c r="AD87" s="12">
        <f t="shared" si="22"/>
        <v>24728899.835036471</v>
      </c>
      <c r="AE87" s="12">
        <f t="shared" si="23"/>
        <v>8242966.6116788238</v>
      </c>
      <c r="AF87" s="12">
        <f t="shared" si="24"/>
        <v>32971866.446715295</v>
      </c>
      <c r="AG87" s="12">
        <f t="shared" si="25"/>
        <v>16485933.223357648</v>
      </c>
      <c r="AH87" s="12">
        <f t="shared" si="26"/>
        <v>16485933.223357648</v>
      </c>
      <c r="AI87" s="12">
        <f t="shared" si="27"/>
        <v>16485933.223357648</v>
      </c>
      <c r="AJ87" s="12">
        <f t="shared" si="28"/>
        <v>165035116.85166785</v>
      </c>
      <c r="AK87" s="12" t="b">
        <f t="shared" si="29"/>
        <v>1</v>
      </c>
    </row>
    <row r="88" spans="1:37" x14ac:dyDescent="0.2">
      <c r="A88" s="1">
        <f>Returns!A75</f>
        <v>44651</v>
      </c>
      <c r="B88" s="20">
        <f t="shared" si="30"/>
        <v>164859332.23357648</v>
      </c>
      <c r="C88" s="18">
        <f t="shared" si="31"/>
        <v>0.43589842064296774</v>
      </c>
      <c r="D88" s="18">
        <f t="shared" si="17"/>
        <v>0.13446577025711434</v>
      </c>
      <c r="E88" s="18">
        <f t="shared" si="17"/>
        <v>4.4032873071313233E-2</v>
      </c>
      <c r="F88" s="18">
        <f t="shared" si="17"/>
        <v>0.12614955076221054</v>
      </c>
      <c r="G88" s="18">
        <f t="shared" si="17"/>
        <v>7.0391180089652672E-2</v>
      </c>
      <c r="H88" s="18">
        <f t="shared" si="32"/>
        <v>9.7039475665038802E-2</v>
      </c>
      <c r="I88" s="18">
        <f t="shared" si="32"/>
        <v>9.2022729511702761E-2</v>
      </c>
      <c r="J88" s="12">
        <f>J87*(1+Returns!B75)</f>
        <v>73427891.965347394</v>
      </c>
      <c r="K88" s="12">
        <f>K87*(1+Returns!C75)</f>
        <v>22651006.711409386</v>
      </c>
      <c r="L88" s="12">
        <f>L87*(1+Returns!D75)</f>
        <v>7417418.585814286</v>
      </c>
      <c r="M88" s="12">
        <f>M87*(1+Returns!E75)</f>
        <v>21250124.217430193</v>
      </c>
      <c r="N88" s="12">
        <f>N87*(1+Returns!F75)</f>
        <v>11857523.960083002</v>
      </c>
      <c r="O88" s="12">
        <f>O87*(1+Returns!G75)</f>
        <v>16346478.441000469</v>
      </c>
      <c r="P88" s="12">
        <f>P87*(1+Returns!H75)</f>
        <v>15501398.309667643</v>
      </c>
      <c r="Q88" s="12">
        <f t="shared" si="18"/>
        <v>168451842.19075236</v>
      </c>
      <c r="R88" s="12">
        <f t="shared" si="19"/>
        <v>596600.27442558133</v>
      </c>
      <c r="S88" s="12">
        <f t="shared" si="20"/>
        <v>167855241.91632676</v>
      </c>
      <c r="T88" s="12"/>
      <c r="U88" t="b">
        <f t="shared" si="21"/>
        <v>1</v>
      </c>
      <c r="V88" s="12">
        <f>IF($U88=TRUE, $Q88*$C$7, $J88)</f>
        <v>50535552.657225706</v>
      </c>
      <c r="W88" s="12">
        <f>IF($U88=TRUE, $Q88*$C$8, $K88)</f>
        <v>25267776.328612853</v>
      </c>
      <c r="X88" s="12">
        <f>IF($U88=TRUE, $Q88*$C$9, $L88)</f>
        <v>8422592.1095376182</v>
      </c>
      <c r="Y88" s="12">
        <f>IF($U88=TRUE, $Q88*$C$10, $M88)</f>
        <v>33690368.438150473</v>
      </c>
      <c r="Z88" s="12">
        <f>IF($U88=TRUE, $Q88*$C$11, $N88)</f>
        <v>16845184.219075236</v>
      </c>
      <c r="AA88" s="12">
        <f>IF($U88=TRUE, $Q88*$C$12, $O88)</f>
        <v>16845184.219075236</v>
      </c>
      <c r="AB88" s="12">
        <f>IF($U88=TRUE, $Q88*$C$13, $P88)</f>
        <v>16845184.219075236</v>
      </c>
      <c r="AC88" s="12">
        <f>V88-(1-$B$3)</f>
        <v>50535551.660767369</v>
      </c>
      <c r="AD88" s="12">
        <f t="shared" si="22"/>
        <v>25178286.287449017</v>
      </c>
      <c r="AE88" s="12">
        <f t="shared" si="23"/>
        <v>8392762.0958163384</v>
      </c>
      <c r="AF88" s="12">
        <f t="shared" si="24"/>
        <v>33571048.383265354</v>
      </c>
      <c r="AG88" s="12">
        <f t="shared" si="25"/>
        <v>16785524.191632677</v>
      </c>
      <c r="AH88" s="12">
        <f t="shared" si="26"/>
        <v>16785524.191632677</v>
      </c>
      <c r="AI88" s="12">
        <f t="shared" si="27"/>
        <v>16785524.191632677</v>
      </c>
      <c r="AJ88" s="12">
        <f t="shared" si="28"/>
        <v>168034221.00219613</v>
      </c>
      <c r="AK88" s="12" t="b">
        <f t="shared" si="29"/>
        <v>1</v>
      </c>
    </row>
    <row r="89" spans="1:37" x14ac:dyDescent="0.2">
      <c r="A89" s="1">
        <f>Returns!A76</f>
        <v>44681</v>
      </c>
      <c r="B89" s="20">
        <f t="shared" si="30"/>
        <v>167855241.91632676</v>
      </c>
      <c r="C89" s="18">
        <f t="shared" si="31"/>
        <v>0.42662317397535887</v>
      </c>
      <c r="D89" s="18">
        <f t="shared" si="17"/>
        <v>0.13454875663630883</v>
      </c>
      <c r="E89" s="18">
        <f t="shared" si="17"/>
        <v>4.4343906263629385E-2</v>
      </c>
      <c r="F89" s="18">
        <f t="shared" si="17"/>
        <v>0.12948347942438107</v>
      </c>
      <c r="G89" s="18">
        <f t="shared" si="17"/>
        <v>7.0311284719772188E-2</v>
      </c>
      <c r="H89" s="18">
        <f t="shared" si="32"/>
        <v>9.9861212946008693E-2</v>
      </c>
      <c r="I89" s="18">
        <f t="shared" si="32"/>
        <v>9.4828186034541032E-2</v>
      </c>
      <c r="J89" s="12">
        <f>J88*(1+Returns!B76)</f>
        <v>66983183.285204709</v>
      </c>
      <c r="K89" s="12">
        <f>K88*(1+Returns!C76)</f>
        <v>21125209.731543619</v>
      </c>
      <c r="L89" s="12">
        <f>L88*(1+Returns!D76)</f>
        <v>6962340.9651210932</v>
      </c>
      <c r="M89" s="12">
        <f>M88*(1+Returns!E76)</f>
        <v>20329921.494584125</v>
      </c>
      <c r="N89" s="12">
        <f>N88*(1+Returns!F76)</f>
        <v>11039422.981918788</v>
      </c>
      <c r="O89" s="12">
        <f>O88*(1+Returns!G76)</f>
        <v>15678993.401872037</v>
      </c>
      <c r="P89" s="12">
        <f>P88*(1+Returns!H76)</f>
        <v>14888768.714945681</v>
      </c>
      <c r="Q89" s="12">
        <f t="shared" si="18"/>
        <v>157007840.57519004</v>
      </c>
      <c r="R89" s="12">
        <f t="shared" si="19"/>
        <v>556069.43537046481</v>
      </c>
      <c r="S89" s="12">
        <f t="shared" si="20"/>
        <v>156451771.13981956</v>
      </c>
      <c r="T89" s="12"/>
      <c r="U89" t="b">
        <f t="shared" si="21"/>
        <v>1</v>
      </c>
      <c r="V89" s="12">
        <f>IF($U89=TRUE, $Q89*$C$7, $J89)</f>
        <v>47102352.172557011</v>
      </c>
      <c r="W89" s="12">
        <f>IF($U89=TRUE, $Q89*$C$8, $K89)</f>
        <v>23551176.086278506</v>
      </c>
      <c r="X89" s="12">
        <f>IF($U89=TRUE, $Q89*$C$9, $L89)</f>
        <v>7850392.0287595019</v>
      </c>
      <c r="Y89" s="12">
        <f>IF($U89=TRUE, $Q89*$C$10, $M89)</f>
        <v>31401568.115038007</v>
      </c>
      <c r="Z89" s="12">
        <f>IF($U89=TRUE, $Q89*$C$11, $N89)</f>
        <v>15700784.057519004</v>
      </c>
      <c r="AA89" s="12">
        <f>IF($U89=TRUE, $Q89*$C$12, $O89)</f>
        <v>15700784.057519004</v>
      </c>
      <c r="AB89" s="12">
        <f>IF($U89=TRUE, $Q89*$C$13, $P89)</f>
        <v>15700784.057519004</v>
      </c>
      <c r="AC89" s="12">
        <f>V89-(1-$B$3)</f>
        <v>47102351.176098675</v>
      </c>
      <c r="AD89" s="12">
        <f t="shared" si="22"/>
        <v>23467765.670972936</v>
      </c>
      <c r="AE89" s="12">
        <f t="shared" si="23"/>
        <v>7822588.5569909783</v>
      </c>
      <c r="AF89" s="12">
        <f t="shared" si="24"/>
        <v>31290354.227963913</v>
      </c>
      <c r="AG89" s="12">
        <f t="shared" si="25"/>
        <v>15645177.113981957</v>
      </c>
      <c r="AH89" s="12">
        <f t="shared" si="26"/>
        <v>15645177.113981957</v>
      </c>
      <c r="AI89" s="12">
        <f t="shared" si="27"/>
        <v>15645177.113981957</v>
      </c>
      <c r="AJ89" s="12">
        <f t="shared" si="28"/>
        <v>156618590.97397238</v>
      </c>
      <c r="AK89" s="12" t="b">
        <f t="shared" si="29"/>
        <v>1</v>
      </c>
    </row>
    <row r="90" spans="1:37" x14ac:dyDescent="0.2">
      <c r="A90" s="1">
        <f>Returns!A77</f>
        <v>44712</v>
      </c>
      <c r="B90" s="20">
        <f t="shared" si="30"/>
        <v>156451771.13981956</v>
      </c>
      <c r="C90" s="18">
        <f t="shared" si="31"/>
        <v>0.42514075036526461</v>
      </c>
      <c r="D90" s="18">
        <f t="shared" si="17"/>
        <v>0.13644889885204164</v>
      </c>
      <c r="E90" s="18">
        <f t="shared" si="17"/>
        <v>4.4361001867067762E-2</v>
      </c>
      <c r="F90" s="18">
        <f t="shared" si="17"/>
        <v>0.12953590308511476</v>
      </c>
      <c r="G90" s="18">
        <f t="shared" si="17"/>
        <v>7.1210634461553152E-2</v>
      </c>
      <c r="H90" s="18">
        <f t="shared" si="32"/>
        <v>9.4635591633825261E-2</v>
      </c>
      <c r="I90" s="18">
        <f t="shared" si="32"/>
        <v>9.8667219735132788E-2</v>
      </c>
      <c r="J90" s="12">
        <f>J89*(1+Returns!B77)</f>
        <v>67134363.852556497</v>
      </c>
      <c r="K90" s="12">
        <f>K89*(1+Returns!C77)</f>
        <v>21546770.134228181</v>
      </c>
      <c r="L90" s="12">
        <f>L89*(1+Returns!D77)</f>
        <v>7005086.2864803122</v>
      </c>
      <c r="M90" s="12">
        <f>M89*(1+Returns!E77)</f>
        <v>20455132.664215446</v>
      </c>
      <c r="N90" s="12">
        <f>N89*(1+Returns!F77)</f>
        <v>11244936.27111946</v>
      </c>
      <c r="O90" s="12">
        <f>O89*(1+Returns!G77)</f>
        <v>14943992.634647854</v>
      </c>
      <c r="P90" s="12">
        <f>P89*(1+Returns!H77)</f>
        <v>15580630.707189312</v>
      </c>
      <c r="Q90" s="12">
        <f t="shared" si="18"/>
        <v>157910912.55043706</v>
      </c>
      <c r="R90" s="12">
        <f t="shared" si="19"/>
        <v>559267.81528279802</v>
      </c>
      <c r="S90" s="12">
        <f t="shared" si="20"/>
        <v>157351644.73515427</v>
      </c>
      <c r="T90" s="12"/>
      <c r="U90" t="b">
        <f t="shared" si="21"/>
        <v>1</v>
      </c>
      <c r="V90" s="12">
        <f>IF($U90=TRUE, $Q90*$C$7, $J90)</f>
        <v>47373273.765131116</v>
      </c>
      <c r="W90" s="12">
        <f>IF($U90=TRUE, $Q90*$C$8, $K90)</f>
        <v>23686636.882565558</v>
      </c>
      <c r="X90" s="12">
        <f>IF($U90=TRUE, $Q90*$C$9, $L90)</f>
        <v>7895545.6275218539</v>
      </c>
      <c r="Y90" s="12">
        <f>IF($U90=TRUE, $Q90*$C$10, $M90)</f>
        <v>31582182.510087416</v>
      </c>
      <c r="Z90" s="12">
        <f>IF($U90=TRUE, $Q90*$C$11, $N90)</f>
        <v>15791091.255043708</v>
      </c>
      <c r="AA90" s="12">
        <f>IF($U90=TRUE, $Q90*$C$12, $O90)</f>
        <v>15791091.255043708</v>
      </c>
      <c r="AB90" s="12">
        <f>IF($U90=TRUE, $Q90*$C$13, $P90)</f>
        <v>15791091.255043708</v>
      </c>
      <c r="AC90" s="12">
        <f>V90-(1-$B$3)</f>
        <v>47373272.768672779</v>
      </c>
      <c r="AD90" s="12">
        <f t="shared" si="22"/>
        <v>23602746.710273139</v>
      </c>
      <c r="AE90" s="12">
        <f t="shared" si="23"/>
        <v>7867582.2367577143</v>
      </c>
      <c r="AF90" s="12">
        <f t="shared" si="24"/>
        <v>31470328.947030857</v>
      </c>
      <c r="AG90" s="12">
        <f t="shared" si="25"/>
        <v>15735164.473515429</v>
      </c>
      <c r="AH90" s="12">
        <f t="shared" si="26"/>
        <v>15735164.473515429</v>
      </c>
      <c r="AI90" s="12">
        <f t="shared" si="27"/>
        <v>15735164.473515429</v>
      </c>
      <c r="AJ90" s="12">
        <f t="shared" si="28"/>
        <v>157519424.08328074</v>
      </c>
      <c r="AK90" s="12" t="b">
        <f t="shared" si="29"/>
        <v>1</v>
      </c>
    </row>
    <row r="91" spans="1:37" x14ac:dyDescent="0.2">
      <c r="A91" s="1">
        <f>Returns!A78</f>
        <v>44742</v>
      </c>
      <c r="B91" s="20">
        <f t="shared" si="30"/>
        <v>157351644.73515427</v>
      </c>
      <c r="C91" s="18">
        <f t="shared" si="31"/>
        <v>0.41834181000348275</v>
      </c>
      <c r="D91" s="18">
        <f t="shared" si="17"/>
        <v>0.13351409426493463</v>
      </c>
      <c r="E91" s="18">
        <f t="shared" si="17"/>
        <v>4.5118734105123459E-2</v>
      </c>
      <c r="F91" s="18">
        <f t="shared" si="17"/>
        <v>0.13755643172407137</v>
      </c>
      <c r="G91" s="18">
        <f t="shared" si="17"/>
        <v>7.3430172983649858E-2</v>
      </c>
      <c r="H91" s="18">
        <f t="shared" si="32"/>
        <v>9.3925437574848308E-2</v>
      </c>
      <c r="I91" s="18">
        <f t="shared" si="32"/>
        <v>9.811331934388956E-2</v>
      </c>
      <c r="J91" s="12">
        <f>J90*(1+Returns!B78)</f>
        <v>61598437.234584689</v>
      </c>
      <c r="K91" s="12">
        <f>K90*(1+Returns!C78)</f>
        <v>19659186.241610732</v>
      </c>
      <c r="L91" s="12">
        <f>L90*(1+Returns!D78)</f>
        <v>6643475.369710776</v>
      </c>
      <c r="M91" s="12">
        <f>M90*(1+Returns!E78)</f>
        <v>20254397.29702872</v>
      </c>
      <c r="N91" s="12">
        <f>N90*(1+Returns!F78)</f>
        <v>10812172.710206509</v>
      </c>
      <c r="O91" s="12">
        <f>O90*(1+Returns!G78)</f>
        <v>13829983.121067984</v>
      </c>
      <c r="P91" s="12">
        <f>P90*(1+Returns!H78)</f>
        <v>14446624.743128188</v>
      </c>
      <c r="Q91" s="12">
        <f t="shared" si="18"/>
        <v>147244276.71733761</v>
      </c>
      <c r="R91" s="12">
        <f t="shared" si="19"/>
        <v>521490.14670723741</v>
      </c>
      <c r="S91" s="12">
        <f t="shared" si="20"/>
        <v>146722786.57063037</v>
      </c>
      <c r="T91" s="12"/>
      <c r="U91" t="b">
        <f t="shared" si="21"/>
        <v>1</v>
      </c>
      <c r="V91" s="12">
        <f>IF($U91=TRUE, $Q91*$C$7, $J91)</f>
        <v>44173283.015201278</v>
      </c>
      <c r="W91" s="12">
        <f>IF($U91=TRUE, $Q91*$C$8, $K91)</f>
        <v>22086641.507600639</v>
      </c>
      <c r="X91" s="12">
        <f>IF($U91=TRUE, $Q91*$C$9, $L91)</f>
        <v>7362213.8358668806</v>
      </c>
      <c r="Y91" s="12">
        <f>IF($U91=TRUE, $Q91*$C$10, $M91)</f>
        <v>29448855.343467522</v>
      </c>
      <c r="Z91" s="12">
        <f>IF($U91=TRUE, $Q91*$C$11, $N91)</f>
        <v>14724427.671733761</v>
      </c>
      <c r="AA91" s="12">
        <f>IF($U91=TRUE, $Q91*$C$12, $O91)</f>
        <v>14724427.671733761</v>
      </c>
      <c r="AB91" s="12">
        <f>IF($U91=TRUE, $Q91*$C$13, $P91)</f>
        <v>14724427.671733761</v>
      </c>
      <c r="AC91" s="12">
        <f>V91-(1-$B$3)</f>
        <v>44173282.018742941</v>
      </c>
      <c r="AD91" s="12">
        <f t="shared" si="22"/>
        <v>22008417.985594552</v>
      </c>
      <c r="AE91" s="12">
        <f t="shared" si="23"/>
        <v>7336139.3285315186</v>
      </c>
      <c r="AF91" s="12">
        <f t="shared" si="24"/>
        <v>29344557.314126074</v>
      </c>
      <c r="AG91" s="12">
        <f t="shared" si="25"/>
        <v>14672278.657063037</v>
      </c>
      <c r="AH91" s="12">
        <f t="shared" si="26"/>
        <v>14672278.657063037</v>
      </c>
      <c r="AI91" s="12">
        <f t="shared" si="27"/>
        <v>14672278.657063037</v>
      </c>
      <c r="AJ91" s="12">
        <f t="shared" si="28"/>
        <v>146879232.61818421</v>
      </c>
      <c r="AK91" s="12" t="b">
        <f t="shared" si="29"/>
        <v>1</v>
      </c>
    </row>
    <row r="92" spans="1:37" x14ac:dyDescent="0.2">
      <c r="A92" s="1">
        <f>Returns!A79</f>
        <v>44773</v>
      </c>
      <c r="B92" s="20">
        <f t="shared" si="30"/>
        <v>146722786.57063037</v>
      </c>
      <c r="C92" s="18">
        <f t="shared" si="31"/>
        <v>0.42949588671317279</v>
      </c>
      <c r="D92" s="18">
        <f t="shared" si="17"/>
        <v>0.13200442582345262</v>
      </c>
      <c r="E92" s="18">
        <f t="shared" si="17"/>
        <v>4.2268007620806569E-2</v>
      </c>
      <c r="F92" s="18">
        <f t="shared" si="17"/>
        <v>0.13294603585707529</v>
      </c>
      <c r="G92" s="18">
        <f t="shared" si="17"/>
        <v>7.1902030193376779E-2</v>
      </c>
      <c r="H92" s="18">
        <f t="shared" si="32"/>
        <v>9.591154703329742E-2</v>
      </c>
      <c r="I92" s="18">
        <f t="shared" si="32"/>
        <v>9.5472066758818322E-2</v>
      </c>
      <c r="J92" s="12">
        <f>J91*(1+Returns!B79)</f>
        <v>67270256.497367084</v>
      </c>
      <c r="K92" s="12">
        <f>K91*(1+Returns!C79)</f>
        <v>20675335.570469793</v>
      </c>
      <c r="L92" s="12">
        <f>L91*(1+Returns!D79)</f>
        <v>6620272.2825683281</v>
      </c>
      <c r="M92" s="12">
        <f>M91*(1+Returns!E79)</f>
        <v>20822816.257577263</v>
      </c>
      <c r="N92" s="12">
        <f>N91*(1+Returns!F79)</f>
        <v>11261733.030332979</v>
      </c>
      <c r="O92" s="12">
        <f>O91*(1+Returns!G79)</f>
        <v>15022249.501304291</v>
      </c>
      <c r="P92" s="12">
        <f>P91*(1+Returns!H79)</f>
        <v>14953415.429304237</v>
      </c>
      <c r="Q92" s="12">
        <f t="shared" si="18"/>
        <v>156626078.56892401</v>
      </c>
      <c r="R92" s="12">
        <f t="shared" si="19"/>
        <v>554717.36159827258</v>
      </c>
      <c r="S92" s="12">
        <f t="shared" si="20"/>
        <v>156071361.20732573</v>
      </c>
      <c r="T92" s="12"/>
      <c r="U92" t="b">
        <f t="shared" si="21"/>
        <v>1</v>
      </c>
      <c r="V92" s="12">
        <f>IF($U92=TRUE, $Q92*$C$7, $J92)</f>
        <v>46987823.570677198</v>
      </c>
      <c r="W92" s="12">
        <f>IF($U92=TRUE, $Q92*$C$8, $K92)</f>
        <v>23493911.785338599</v>
      </c>
      <c r="X92" s="12">
        <f>IF($U92=TRUE, $Q92*$C$9, $L92)</f>
        <v>7831303.9284462007</v>
      </c>
      <c r="Y92" s="12">
        <f>IF($U92=TRUE, $Q92*$C$10, $M92)</f>
        <v>31325215.713784803</v>
      </c>
      <c r="Z92" s="12">
        <f>IF($U92=TRUE, $Q92*$C$11, $N92)</f>
        <v>15662607.856892401</v>
      </c>
      <c r="AA92" s="12">
        <f>IF($U92=TRUE, $Q92*$C$12, $O92)</f>
        <v>15662607.856892401</v>
      </c>
      <c r="AB92" s="12">
        <f>IF($U92=TRUE, $Q92*$C$13, $P92)</f>
        <v>15662607.856892401</v>
      </c>
      <c r="AC92" s="12">
        <f>V92-(1-$B$3)</f>
        <v>46987822.574218862</v>
      </c>
      <c r="AD92" s="12">
        <f t="shared" si="22"/>
        <v>23410704.18109886</v>
      </c>
      <c r="AE92" s="12">
        <f t="shared" si="23"/>
        <v>7803568.0603662869</v>
      </c>
      <c r="AF92" s="12">
        <f t="shared" si="24"/>
        <v>31214272.241465148</v>
      </c>
      <c r="AG92" s="12">
        <f t="shared" si="25"/>
        <v>15607136.120732574</v>
      </c>
      <c r="AH92" s="12">
        <f t="shared" si="26"/>
        <v>15607136.120732574</v>
      </c>
      <c r="AI92" s="12">
        <f t="shared" si="27"/>
        <v>15607136.120732574</v>
      </c>
      <c r="AJ92" s="12">
        <f t="shared" si="28"/>
        <v>156237775.41934687</v>
      </c>
      <c r="AK92" s="12" t="b">
        <f t="shared" si="29"/>
        <v>1</v>
      </c>
    </row>
    <row r="93" spans="1:37" x14ac:dyDescent="0.2">
      <c r="A93" s="1">
        <f>Returns!A80</f>
        <v>44804</v>
      </c>
      <c r="B93" s="20">
        <f t="shared" si="30"/>
        <v>156071361.20732573</v>
      </c>
      <c r="C93" s="18">
        <f t="shared" si="31"/>
        <v>0.43018525234369626</v>
      </c>
      <c r="D93" s="18">
        <f t="shared" si="17"/>
        <v>0.12940609535267994</v>
      </c>
      <c r="E93" s="18">
        <f t="shared" si="17"/>
        <v>4.3550348990708275E-2</v>
      </c>
      <c r="F93" s="18">
        <f t="shared" si="17"/>
        <v>0.13346761925184394</v>
      </c>
      <c r="G93" s="18">
        <f t="shared" si="17"/>
        <v>7.1759351108394001E-2</v>
      </c>
      <c r="H93" s="18">
        <f t="shared" si="32"/>
        <v>9.4124323221064329E-2</v>
      </c>
      <c r="I93" s="18">
        <f t="shared" si="32"/>
        <v>9.7507009731613165E-2</v>
      </c>
      <c r="J93" s="12">
        <f>J92*(1+Returns!B80)</f>
        <v>64526923.730253108</v>
      </c>
      <c r="K93" s="12">
        <f>K92*(1+Returns!C80)</f>
        <v>19410654.362416103</v>
      </c>
      <c r="L93" s="12">
        <f>L92*(1+Returns!D80)</f>
        <v>6532464.8681916101</v>
      </c>
      <c r="M93" s="12">
        <f>M92*(1+Returns!E80)</f>
        <v>20019874.78883037</v>
      </c>
      <c r="N93" s="12">
        <f>N92*(1+Returns!F80)</f>
        <v>10763758.521885196</v>
      </c>
      <c r="O93" s="12">
        <f>O92*(1+Returns!G80)</f>
        <v>14118459.413840733</v>
      </c>
      <c r="P93" s="12">
        <f>P92*(1+Returns!H80)</f>
        <v>14625855.595556304</v>
      </c>
      <c r="Q93" s="12">
        <f t="shared" si="18"/>
        <v>149997991.28097343</v>
      </c>
      <c r="R93" s="12">
        <f t="shared" si="19"/>
        <v>531242.88578678097</v>
      </c>
      <c r="S93" s="12">
        <f t="shared" si="20"/>
        <v>149466748.39518666</v>
      </c>
      <c r="T93" s="12"/>
      <c r="U93" t="b">
        <f t="shared" si="21"/>
        <v>1</v>
      </c>
      <c r="V93" s="12">
        <f>IF($U93=TRUE, $Q93*$C$7, $J93)</f>
        <v>44999397.384292029</v>
      </c>
      <c r="W93" s="12">
        <f>IF($U93=TRUE, $Q93*$C$8, $K93)</f>
        <v>22499698.692146014</v>
      </c>
      <c r="X93" s="12">
        <f>IF($U93=TRUE, $Q93*$C$9, $L93)</f>
        <v>7499899.5640486721</v>
      </c>
      <c r="Y93" s="12">
        <f>IF($U93=TRUE, $Q93*$C$10, $M93)</f>
        <v>29999598.256194688</v>
      </c>
      <c r="Z93" s="12">
        <f>IF($U93=TRUE, $Q93*$C$11, $N93)</f>
        <v>14999799.128097344</v>
      </c>
      <c r="AA93" s="12">
        <f>IF($U93=TRUE, $Q93*$C$12, $O93)</f>
        <v>14999799.128097344</v>
      </c>
      <c r="AB93" s="12">
        <f>IF($U93=TRUE, $Q93*$C$13, $P93)</f>
        <v>14999799.128097344</v>
      </c>
      <c r="AC93" s="12">
        <f>V93-(1-$B$3)</f>
        <v>44999396.387833692</v>
      </c>
      <c r="AD93" s="12">
        <f t="shared" si="22"/>
        <v>22420012.259277996</v>
      </c>
      <c r="AE93" s="12">
        <f t="shared" si="23"/>
        <v>7473337.4197593331</v>
      </c>
      <c r="AF93" s="12">
        <f t="shared" si="24"/>
        <v>29893349.679037333</v>
      </c>
      <c r="AG93" s="12">
        <f t="shared" si="25"/>
        <v>14946674.839518666</v>
      </c>
      <c r="AH93" s="12">
        <f t="shared" si="26"/>
        <v>14946674.839518666</v>
      </c>
      <c r="AI93" s="12">
        <f t="shared" si="27"/>
        <v>14946674.839518666</v>
      </c>
      <c r="AJ93" s="12">
        <f t="shared" si="28"/>
        <v>149626120.26446435</v>
      </c>
      <c r="AK93" s="12" t="b">
        <f t="shared" si="29"/>
        <v>1</v>
      </c>
    </row>
    <row r="94" spans="1:37" x14ac:dyDescent="0.2">
      <c r="A94" s="1">
        <f>Returns!A81</f>
        <v>44834</v>
      </c>
      <c r="B94" s="20">
        <f t="shared" si="30"/>
        <v>149466748.39518666</v>
      </c>
      <c r="C94" s="18">
        <f t="shared" si="31"/>
        <v>0.42959172536935247</v>
      </c>
      <c r="D94" s="18">
        <f t="shared" si="17"/>
        <v>0.12926062560303914</v>
      </c>
      <c r="E94" s="18">
        <f t="shared" si="17"/>
        <v>4.2390825283224215E-2</v>
      </c>
      <c r="F94" s="18">
        <f t="shared" si="17"/>
        <v>0.13965881886168935</v>
      </c>
      <c r="G94" s="18">
        <f t="shared" si="17"/>
        <v>7.4031763911250117E-2</v>
      </c>
      <c r="H94" s="18">
        <f t="shared" si="32"/>
        <v>9.0242232573538181E-2</v>
      </c>
      <c r="I94" s="18">
        <f t="shared" si="32"/>
        <v>9.4824008397906306E-2</v>
      </c>
      <c r="J94" s="12">
        <f>J93*(1+Returns!B81)</f>
        <v>58561236.623067781</v>
      </c>
      <c r="K94" s="12">
        <f>K93*(1+Returns!C81)</f>
        <v>17620595.637583889</v>
      </c>
      <c r="L94" s="12">
        <f>L93*(1+Returns!D81)</f>
        <v>5778647.5005394015</v>
      </c>
      <c r="M94" s="12">
        <f>M93*(1+Returns!E81)</f>
        <v>19038060.220610157</v>
      </c>
      <c r="N94" s="12">
        <f>N93*(1+Returns!F81)</f>
        <v>10091888.153344538</v>
      </c>
      <c r="O94" s="12">
        <f>O93*(1+Returns!G81)</f>
        <v>12301672.548718743</v>
      </c>
      <c r="P94" s="12">
        <f>P93*(1+Returns!H81)</f>
        <v>12926252.684600046</v>
      </c>
      <c r="Q94" s="12">
        <f t="shared" si="18"/>
        <v>136318353.36846459</v>
      </c>
      <c r="R94" s="12">
        <f t="shared" si="19"/>
        <v>482794.16817997879</v>
      </c>
      <c r="S94" s="12">
        <f t="shared" si="20"/>
        <v>135835559.2002846</v>
      </c>
      <c r="T94" s="12"/>
      <c r="U94" t="b">
        <f t="shared" si="21"/>
        <v>1</v>
      </c>
      <c r="V94" s="12">
        <f>IF($U94=TRUE, $Q94*$C$7, $J94)</f>
        <v>40895506.010539375</v>
      </c>
      <c r="W94" s="12">
        <f>IF($U94=TRUE, $Q94*$C$8, $K94)</f>
        <v>20447753.005269688</v>
      </c>
      <c r="X94" s="12">
        <f>IF($U94=TRUE, $Q94*$C$9, $L94)</f>
        <v>6815917.6684232298</v>
      </c>
      <c r="Y94" s="12">
        <f>IF($U94=TRUE, $Q94*$C$10, $M94)</f>
        <v>27263670.673692919</v>
      </c>
      <c r="Z94" s="12">
        <f>IF($U94=TRUE, $Q94*$C$11, $N94)</f>
        <v>13631835.33684646</v>
      </c>
      <c r="AA94" s="12">
        <f>IF($U94=TRUE, $Q94*$C$12, $O94)</f>
        <v>13631835.33684646</v>
      </c>
      <c r="AB94" s="12">
        <f>IF($U94=TRUE, $Q94*$C$13, $P94)</f>
        <v>13631835.33684646</v>
      </c>
      <c r="AC94" s="12">
        <f>V94-(1-$B$3)</f>
        <v>40895505.014081039</v>
      </c>
      <c r="AD94" s="12">
        <f t="shared" si="22"/>
        <v>20375333.880042691</v>
      </c>
      <c r="AE94" s="12">
        <f t="shared" si="23"/>
        <v>6791777.9600142306</v>
      </c>
      <c r="AF94" s="12">
        <f t="shared" si="24"/>
        <v>27167111.840056922</v>
      </c>
      <c r="AG94" s="12">
        <f t="shared" si="25"/>
        <v>13583555.920028461</v>
      </c>
      <c r="AH94" s="12">
        <f t="shared" si="26"/>
        <v>13583555.920028461</v>
      </c>
      <c r="AI94" s="12">
        <f t="shared" si="27"/>
        <v>13583555.920028461</v>
      </c>
      <c r="AJ94" s="12">
        <f t="shared" si="28"/>
        <v>135980396.45428026</v>
      </c>
      <c r="AK94" s="12" t="b">
        <f t="shared" si="29"/>
        <v>1</v>
      </c>
    </row>
    <row r="95" spans="1:37" x14ac:dyDescent="0.2">
      <c r="A95" s="1">
        <f>Returns!A82</f>
        <v>44865</v>
      </c>
      <c r="B95" s="20">
        <f t="shared" si="30"/>
        <v>135835559.2002846</v>
      </c>
      <c r="C95" s="18">
        <f t="shared" si="31"/>
        <v>0.44372640082247178</v>
      </c>
      <c r="D95" s="18">
        <f t="shared" si="17"/>
        <v>0.13075288724772732</v>
      </c>
      <c r="E95" s="18">
        <f t="shared" si="17"/>
        <v>3.9693270794541172E-2</v>
      </c>
      <c r="F95" s="18">
        <f t="shared" si="17"/>
        <v>0.13121028475983046</v>
      </c>
      <c r="G95" s="18">
        <f t="shared" si="17"/>
        <v>6.9958141564648274E-2</v>
      </c>
      <c r="H95" s="18">
        <f t="shared" si="32"/>
        <v>8.9226541721773023E-2</v>
      </c>
      <c r="I95" s="18">
        <f t="shared" si="32"/>
        <v>9.5432473089007958E-2</v>
      </c>
      <c r="J95" s="12">
        <f>J94*(1+Returns!B82)</f>
        <v>63320876.507559031</v>
      </c>
      <c r="K95" s="12">
        <f>K94*(1+Returns!C82)</f>
        <v>18658766.778523486</v>
      </c>
      <c r="L95" s="12">
        <f>L94*(1+Returns!D82)</f>
        <v>5664329.8516912442</v>
      </c>
      <c r="M95" s="12">
        <f>M94*(1+Returns!E82)</f>
        <v>18724038.557090327</v>
      </c>
      <c r="N95" s="12">
        <f>N94*(1+Returns!F82)</f>
        <v>9983203.240786491</v>
      </c>
      <c r="O95" s="12">
        <f>O94*(1+Returns!G82)</f>
        <v>12732852.539512053</v>
      </c>
      <c r="P95" s="12">
        <f>P94*(1+Returns!H82)</f>
        <v>13618454.597425867</v>
      </c>
      <c r="Q95" s="12">
        <f t="shared" si="18"/>
        <v>142702522.0725885</v>
      </c>
      <c r="R95" s="12">
        <f t="shared" si="19"/>
        <v>505404.76567375101</v>
      </c>
      <c r="S95" s="12">
        <f t="shared" si="20"/>
        <v>142197117.30691475</v>
      </c>
      <c r="T95" s="12"/>
      <c r="U95" t="b">
        <f t="shared" si="21"/>
        <v>1</v>
      </c>
      <c r="V95" s="12">
        <f>IF($U95=TRUE, $Q95*$C$7, $J95)</f>
        <v>42810756.621776551</v>
      </c>
      <c r="W95" s="12">
        <f>IF($U95=TRUE, $Q95*$C$8, $K95)</f>
        <v>21405378.310888276</v>
      </c>
      <c r="X95" s="12">
        <f>IF($U95=TRUE, $Q95*$C$9, $L95)</f>
        <v>7135126.1036294252</v>
      </c>
      <c r="Y95" s="12">
        <f>IF($U95=TRUE, $Q95*$C$10, $M95)</f>
        <v>28540504.414517701</v>
      </c>
      <c r="Z95" s="12">
        <f>IF($U95=TRUE, $Q95*$C$11, $N95)</f>
        <v>14270252.20725885</v>
      </c>
      <c r="AA95" s="12">
        <f>IF($U95=TRUE, $Q95*$C$12, $O95)</f>
        <v>14270252.20725885</v>
      </c>
      <c r="AB95" s="12">
        <f>IF($U95=TRUE, $Q95*$C$13, $P95)</f>
        <v>14270252.20725885</v>
      </c>
      <c r="AC95" s="12">
        <f>V95-(1-$B$3)</f>
        <v>42810755.625318214</v>
      </c>
      <c r="AD95" s="12">
        <f t="shared" si="22"/>
        <v>21329567.596037213</v>
      </c>
      <c r="AE95" s="12">
        <f t="shared" si="23"/>
        <v>7109855.8653457379</v>
      </c>
      <c r="AF95" s="12">
        <f t="shared" si="24"/>
        <v>28439423.461382952</v>
      </c>
      <c r="AG95" s="12">
        <f t="shared" si="25"/>
        <v>14219711.730691476</v>
      </c>
      <c r="AH95" s="12">
        <f t="shared" si="26"/>
        <v>14219711.730691476</v>
      </c>
      <c r="AI95" s="12">
        <f t="shared" si="27"/>
        <v>14219711.730691476</v>
      </c>
      <c r="AJ95" s="12">
        <f t="shared" si="28"/>
        <v>142348737.74015853</v>
      </c>
      <c r="AK95" s="12" t="b">
        <f t="shared" si="29"/>
        <v>1</v>
      </c>
    </row>
    <row r="96" spans="1:37" x14ac:dyDescent="0.2">
      <c r="A96" s="1">
        <f>Returns!A83</f>
        <v>44895</v>
      </c>
      <c r="B96" s="20">
        <f t="shared" si="30"/>
        <v>142197117.30691475</v>
      </c>
      <c r="C96" s="18">
        <f t="shared" si="31"/>
        <v>0.4372405533731164</v>
      </c>
      <c r="D96" s="18">
        <f t="shared" si="17"/>
        <v>0.13812640051870301</v>
      </c>
      <c r="E96" s="18">
        <f t="shared" si="17"/>
        <v>4.2829009207957625E-2</v>
      </c>
      <c r="F96" s="18">
        <f t="shared" si="17"/>
        <v>0.1269014458172131</v>
      </c>
      <c r="G96" s="18">
        <f t="shared" ref="G96:G135" si="33">N96/$Q96</f>
        <v>6.9647237031503134E-2</v>
      </c>
      <c r="H96" s="18">
        <f t="shared" si="32"/>
        <v>8.8409578361774543E-2</v>
      </c>
      <c r="I96" s="18">
        <f t="shared" si="32"/>
        <v>9.6845775689732003E-2</v>
      </c>
      <c r="J96" s="12">
        <f>J95*(1+Returns!B83)</f>
        <v>66842194.666213691</v>
      </c>
      <c r="K96" s="12">
        <f>K95*(1+Returns!C83)</f>
        <v>21115771.812080536</v>
      </c>
      <c r="L96" s="12">
        <f>L95*(1+Returns!D83)</f>
        <v>6547391.244371661</v>
      </c>
      <c r="M96" s="12">
        <f>M95*(1+Returns!E83)</f>
        <v>19399781.377322864</v>
      </c>
      <c r="N96" s="12">
        <f>N95*(1+Returns!F83)</f>
        <v>10647169.2520502</v>
      </c>
      <c r="O96" s="12">
        <f>O95*(1+Returns!G83)</f>
        <v>13515421.206076423</v>
      </c>
      <c r="P96" s="12">
        <f>P95*(1+Returns!H83)</f>
        <v>14805086.447984416</v>
      </c>
      <c r="Q96" s="12">
        <f t="shared" si="18"/>
        <v>152872816.00609982</v>
      </c>
      <c r="R96" s="12">
        <f t="shared" si="19"/>
        <v>541424.55668827018</v>
      </c>
      <c r="S96" s="12">
        <f t="shared" si="20"/>
        <v>152331391.44941154</v>
      </c>
      <c r="T96" s="12"/>
      <c r="U96" t="b">
        <f t="shared" si="21"/>
        <v>1</v>
      </c>
      <c r="V96" s="12">
        <f>IF($U96=TRUE, $Q96*$C$7, $J96)</f>
        <v>45861844.801829942</v>
      </c>
      <c r="W96" s="12">
        <f>IF($U96=TRUE, $Q96*$C$8, $K96)</f>
        <v>22930922.400914971</v>
      </c>
      <c r="X96" s="12">
        <f>IF($U96=TRUE, $Q96*$C$9, $L96)</f>
        <v>7643640.8003049912</v>
      </c>
      <c r="Y96" s="12">
        <f>IF($U96=TRUE, $Q96*$C$10, $M96)</f>
        <v>30574563.201219965</v>
      </c>
      <c r="Z96" s="12">
        <f>IF($U96=TRUE, $Q96*$C$11, $N96)</f>
        <v>15287281.600609982</v>
      </c>
      <c r="AA96" s="12">
        <f>IF($U96=TRUE, $Q96*$C$12, $O96)</f>
        <v>15287281.600609982</v>
      </c>
      <c r="AB96" s="12">
        <f>IF($U96=TRUE, $Q96*$C$13, $P96)</f>
        <v>15287281.600609982</v>
      </c>
      <c r="AC96" s="12">
        <f>V96-(1-$B$3)</f>
        <v>45861843.805371605</v>
      </c>
      <c r="AD96" s="12">
        <f t="shared" si="22"/>
        <v>22849708.71741173</v>
      </c>
      <c r="AE96" s="12">
        <f t="shared" si="23"/>
        <v>7616569.5724705774</v>
      </c>
      <c r="AF96" s="12">
        <f t="shared" si="24"/>
        <v>30466278.28988231</v>
      </c>
      <c r="AG96" s="12">
        <f t="shared" si="25"/>
        <v>15233139.144941155</v>
      </c>
      <c r="AH96" s="12">
        <f t="shared" si="26"/>
        <v>15233139.144941155</v>
      </c>
      <c r="AI96" s="12">
        <f t="shared" si="27"/>
        <v>15233139.144941155</v>
      </c>
      <c r="AJ96" s="12">
        <f t="shared" si="28"/>
        <v>152493817.81995967</v>
      </c>
      <c r="AK96" s="12" t="b">
        <f t="shared" si="29"/>
        <v>1</v>
      </c>
    </row>
    <row r="97" spans="1:37" x14ac:dyDescent="0.2">
      <c r="A97" s="1">
        <f>Returns!A84</f>
        <v>44926</v>
      </c>
      <c r="B97" s="20">
        <f t="shared" si="30"/>
        <v>152331391.44941154</v>
      </c>
      <c r="C97" s="18">
        <f t="shared" si="31"/>
        <v>0.43058317895978288</v>
      </c>
      <c r="D97" s="18">
        <f t="shared" ref="D97:F135" si="34">K97/$Q97</f>
        <v>0.14115996133819878</v>
      </c>
      <c r="E97" s="18">
        <f t="shared" si="34"/>
        <v>4.3576358604790102E-2</v>
      </c>
      <c r="F97" s="18">
        <f t="shared" si="34"/>
        <v>0.13012636605183753</v>
      </c>
      <c r="G97" s="18">
        <f t="shared" si="33"/>
        <v>7.1207990107722066E-2</v>
      </c>
      <c r="H97" s="18">
        <f t="shared" si="32"/>
        <v>8.6514495048327159E-2</v>
      </c>
      <c r="I97" s="18">
        <f t="shared" si="32"/>
        <v>9.6831649889341453E-2</v>
      </c>
      <c r="J97" s="12">
        <f>J96*(1+Returns!B84)</f>
        <v>62989638.185833186</v>
      </c>
      <c r="K97" s="12">
        <f>K96*(1+Returns!C84)</f>
        <v>20650167.785234898</v>
      </c>
      <c r="L97" s="12">
        <f>L96*(1+Returns!D84)</f>
        <v>6374747.542630367</v>
      </c>
      <c r="M97" s="12">
        <f>M96*(1+Returns!E84)</f>
        <v>19036072.741727117</v>
      </c>
      <c r="N97" s="12">
        <f>N96*(1+Returns!F84)</f>
        <v>10416954.846359063</v>
      </c>
      <c r="O97" s="12">
        <f>O96*(1+Returns!G84)</f>
        <v>12656130.121221429</v>
      </c>
      <c r="P97" s="12">
        <f>P96*(1+Returns!H84)</f>
        <v>14165417.716042699</v>
      </c>
      <c r="Q97" s="12">
        <f t="shared" si="18"/>
        <v>146289128.93904877</v>
      </c>
      <c r="R97" s="12">
        <f t="shared" si="19"/>
        <v>518107.3316591311</v>
      </c>
      <c r="S97" s="12">
        <f t="shared" si="20"/>
        <v>145771021.60738963</v>
      </c>
      <c r="T97" s="12"/>
      <c r="U97" t="b">
        <f t="shared" si="21"/>
        <v>1</v>
      </c>
      <c r="V97" s="12">
        <f>IF($U97=TRUE, $Q97*$C$7, $J97)</f>
        <v>43886738.681714632</v>
      </c>
      <c r="W97" s="12">
        <f>IF($U97=TRUE, $Q97*$C$8, $K97)</f>
        <v>21943369.340857316</v>
      </c>
      <c r="X97" s="12">
        <f>IF($U97=TRUE, $Q97*$C$9, $L97)</f>
        <v>7314456.4469524389</v>
      </c>
      <c r="Y97" s="12">
        <f>IF($U97=TRUE, $Q97*$C$10, $M97)</f>
        <v>29257825.787809756</v>
      </c>
      <c r="Z97" s="12">
        <f>IF($U97=TRUE, $Q97*$C$11, $N97)</f>
        <v>14628912.893904878</v>
      </c>
      <c r="AA97" s="12">
        <f>IF($U97=TRUE, $Q97*$C$12, $O97)</f>
        <v>14628912.893904878</v>
      </c>
      <c r="AB97" s="12">
        <f>IF($U97=TRUE, $Q97*$C$13, $P97)</f>
        <v>14628912.893904878</v>
      </c>
      <c r="AC97" s="12">
        <f>V97-(1-$B$3)</f>
        <v>43886737.685256295</v>
      </c>
      <c r="AD97" s="12">
        <f t="shared" si="22"/>
        <v>21865653.241108447</v>
      </c>
      <c r="AE97" s="12">
        <f t="shared" si="23"/>
        <v>7288551.0803694827</v>
      </c>
      <c r="AF97" s="12">
        <f t="shared" si="24"/>
        <v>29154204.321477931</v>
      </c>
      <c r="AG97" s="12">
        <f t="shared" si="25"/>
        <v>14577102.160738965</v>
      </c>
      <c r="AH97" s="12">
        <f t="shared" si="26"/>
        <v>14577102.160738965</v>
      </c>
      <c r="AI97" s="12">
        <f t="shared" si="27"/>
        <v>14577102.160738965</v>
      </c>
      <c r="AJ97" s="12">
        <f t="shared" si="28"/>
        <v>145926452.81042904</v>
      </c>
      <c r="AK97" s="12" t="b">
        <f t="shared" si="29"/>
        <v>1</v>
      </c>
    </row>
    <row r="98" spans="1:37" x14ac:dyDescent="0.2">
      <c r="A98" s="1">
        <f>Returns!A85</f>
        <v>44957</v>
      </c>
      <c r="B98" s="20">
        <f t="shared" si="30"/>
        <v>145771021.60738963</v>
      </c>
      <c r="C98" s="18">
        <f t="shared" si="31"/>
        <v>0.42924066798333765</v>
      </c>
      <c r="D98" s="18">
        <f t="shared" si="34"/>
        <v>0.14431418996762729</v>
      </c>
      <c r="E98" s="18">
        <f t="shared" si="34"/>
        <v>4.4601424031059697E-2</v>
      </c>
      <c r="F98" s="18">
        <f t="shared" si="34"/>
        <v>0.12641609133075152</v>
      </c>
      <c r="G98" s="18">
        <f t="shared" si="33"/>
        <v>7.0231995513938772E-2</v>
      </c>
      <c r="H98" s="18">
        <f t="shared" si="32"/>
        <v>8.9582733570816961E-2</v>
      </c>
      <c r="I98" s="18">
        <f t="shared" si="32"/>
        <v>9.5612897602468216E-2</v>
      </c>
      <c r="J98" s="12">
        <f>J97*(1+Returns!B85)</f>
        <v>66950908.782062158</v>
      </c>
      <c r="K98" s="12">
        <f>K97*(1+Returns!C85)</f>
        <v>22509437.919463087</v>
      </c>
      <c r="L98" s="12">
        <f>L97*(1+Returns!D85)</f>
        <v>6956717.0461338209</v>
      </c>
      <c r="M98" s="12">
        <f>M97*(1+Returns!E85)</f>
        <v>19717777.998608764</v>
      </c>
      <c r="N98" s="12">
        <f>N97*(1+Returns!F85)</f>
        <v>10954451.141191591</v>
      </c>
      <c r="O98" s="12">
        <f>O97*(1+Returns!G85)</f>
        <v>13972686.819088545</v>
      </c>
      <c r="P98" s="12">
        <f>P97*(1+Returns!H85)</f>
        <v>14913242.996863451</v>
      </c>
      <c r="Q98" s="12">
        <f t="shared" si="18"/>
        <v>155975222.7034114</v>
      </c>
      <c r="R98" s="12">
        <f t="shared" si="19"/>
        <v>552412.24707458203</v>
      </c>
      <c r="S98" s="12">
        <f t="shared" si="20"/>
        <v>155422810.45633683</v>
      </c>
      <c r="T98" s="12"/>
      <c r="U98" t="b">
        <f t="shared" si="21"/>
        <v>1</v>
      </c>
      <c r="V98" s="12">
        <f>IF($U98=TRUE, $Q98*$C$7, $J98)</f>
        <v>46792566.811023422</v>
      </c>
      <c r="W98" s="12">
        <f>IF($U98=TRUE, $Q98*$C$8, $K98)</f>
        <v>23396283.405511711</v>
      </c>
      <c r="X98" s="12">
        <f>IF($U98=TRUE, $Q98*$C$9, $L98)</f>
        <v>7798761.1351705706</v>
      </c>
      <c r="Y98" s="12">
        <f>IF($U98=TRUE, $Q98*$C$10, $M98)</f>
        <v>31195044.540682282</v>
      </c>
      <c r="Z98" s="12">
        <f>IF($U98=TRUE, $Q98*$C$11, $N98)</f>
        <v>15597522.270341141</v>
      </c>
      <c r="AA98" s="12">
        <f>IF($U98=TRUE, $Q98*$C$12, $O98)</f>
        <v>15597522.270341141</v>
      </c>
      <c r="AB98" s="12">
        <f>IF($U98=TRUE, $Q98*$C$13, $P98)</f>
        <v>15597522.270341141</v>
      </c>
      <c r="AC98" s="12">
        <f>V98-(1-$B$3)</f>
        <v>46792565.814565085</v>
      </c>
      <c r="AD98" s="12">
        <f t="shared" si="22"/>
        <v>23313421.568450522</v>
      </c>
      <c r="AE98" s="12">
        <f t="shared" si="23"/>
        <v>7771140.5228168415</v>
      </c>
      <c r="AF98" s="12">
        <f t="shared" si="24"/>
        <v>31084562.091267366</v>
      </c>
      <c r="AG98" s="12">
        <f t="shared" si="25"/>
        <v>15542281.045633683</v>
      </c>
      <c r="AH98" s="12">
        <f t="shared" si="26"/>
        <v>15542281.045633683</v>
      </c>
      <c r="AI98" s="12">
        <f t="shared" si="27"/>
        <v>15542281.045633683</v>
      </c>
      <c r="AJ98" s="12">
        <f t="shared" si="28"/>
        <v>155588533.13400084</v>
      </c>
      <c r="AK98" s="12" t="b">
        <f t="shared" si="29"/>
        <v>1</v>
      </c>
    </row>
    <row r="99" spans="1:37" x14ac:dyDescent="0.2">
      <c r="A99" s="1">
        <f>Returns!A86</f>
        <v>44985</v>
      </c>
      <c r="B99" s="20">
        <f t="shared" si="30"/>
        <v>155422810.45633683</v>
      </c>
      <c r="C99" s="18">
        <f t="shared" si="31"/>
        <v>0.43355204688240312</v>
      </c>
      <c r="D99" s="18">
        <f t="shared" si="34"/>
        <v>0.14492572568989492</v>
      </c>
      <c r="E99" s="18">
        <f t="shared" si="34"/>
        <v>4.2714119219157035E-2</v>
      </c>
      <c r="F99" s="18">
        <f t="shared" si="34"/>
        <v>0.12642433163674049</v>
      </c>
      <c r="G99" s="18">
        <f t="shared" si="33"/>
        <v>6.9518205536769878E-2</v>
      </c>
      <c r="H99" s="18">
        <f t="shared" si="32"/>
        <v>8.7373241347361505E-2</v>
      </c>
      <c r="I99" s="18">
        <f t="shared" si="32"/>
        <v>9.5492329687673058E-2</v>
      </c>
      <c r="J99" s="12">
        <f>J98*(1+Returns!B86)</f>
        <v>65267538.644470856</v>
      </c>
      <c r="K99" s="12">
        <f>K98*(1+Returns!C86)</f>
        <v>21817323.825503353</v>
      </c>
      <c r="L99" s="12">
        <f>L98*(1+Returns!D86)</f>
        <v>6430243.9507500324</v>
      </c>
      <c r="M99" s="12">
        <f>M98*(1+Returns!E86)</f>
        <v>19032097.783961046</v>
      </c>
      <c r="N99" s="12">
        <f>N98*(1+Returns!F86)</f>
        <v>10465369.034680376</v>
      </c>
      <c r="O99" s="12">
        <f>O98*(1+Returns!G86)</f>
        <v>13153291.391744673</v>
      </c>
      <c r="P99" s="12">
        <f>P98*(1+Returns!H86)</f>
        <v>14375550.439579109</v>
      </c>
      <c r="Q99" s="12">
        <f t="shared" si="18"/>
        <v>150541415.07068944</v>
      </c>
      <c r="R99" s="12">
        <f t="shared" si="19"/>
        <v>533167.51170869183</v>
      </c>
      <c r="S99" s="12">
        <f t="shared" si="20"/>
        <v>150008247.55898073</v>
      </c>
      <c r="T99" s="12"/>
      <c r="U99" t="b">
        <f t="shared" si="21"/>
        <v>1</v>
      </c>
      <c r="V99" s="12">
        <f>IF($U99=TRUE, $Q99*$C$7, $J99)</f>
        <v>45162424.521206833</v>
      </c>
      <c r="W99" s="12">
        <f>IF($U99=TRUE, $Q99*$C$8, $K99)</f>
        <v>22581212.260603417</v>
      </c>
      <c r="X99" s="12">
        <f>IF($U99=TRUE, $Q99*$C$9, $L99)</f>
        <v>7527070.7535344725</v>
      </c>
      <c r="Y99" s="12">
        <f>IF($U99=TRUE, $Q99*$C$10, $M99)</f>
        <v>30108283.01413789</v>
      </c>
      <c r="Z99" s="12">
        <f>IF($U99=TRUE, $Q99*$C$11, $N99)</f>
        <v>15054141.507068945</v>
      </c>
      <c r="AA99" s="12">
        <f>IF($U99=TRUE, $Q99*$C$12, $O99)</f>
        <v>15054141.507068945</v>
      </c>
      <c r="AB99" s="12">
        <f>IF($U99=TRUE, $Q99*$C$13, $P99)</f>
        <v>15054141.507068945</v>
      </c>
      <c r="AC99" s="12">
        <f>V99-(1-$B$3)</f>
        <v>45162423.524748497</v>
      </c>
      <c r="AD99" s="12">
        <f t="shared" si="22"/>
        <v>22501237.133847114</v>
      </c>
      <c r="AE99" s="12">
        <f t="shared" si="23"/>
        <v>7500412.3779490376</v>
      </c>
      <c r="AF99" s="12">
        <f t="shared" si="24"/>
        <v>30001649.51179615</v>
      </c>
      <c r="AG99" s="12">
        <f t="shared" si="25"/>
        <v>15000824.755898075</v>
      </c>
      <c r="AH99" s="12">
        <f t="shared" si="26"/>
        <v>15000824.755898075</v>
      </c>
      <c r="AI99" s="12">
        <f t="shared" si="27"/>
        <v>15000824.755898075</v>
      </c>
      <c r="AJ99" s="12">
        <f t="shared" si="28"/>
        <v>150168196.81603503</v>
      </c>
      <c r="AK99" s="12" t="b">
        <f t="shared" si="29"/>
        <v>1</v>
      </c>
    </row>
    <row r="100" spans="1:37" x14ac:dyDescent="0.2">
      <c r="A100" s="1">
        <f>Returns!A87</f>
        <v>45016</v>
      </c>
      <c r="B100" s="20">
        <f t="shared" si="30"/>
        <v>150008247.55898073</v>
      </c>
      <c r="C100" s="18">
        <f t="shared" si="31"/>
        <v>0.43715636400004476</v>
      </c>
      <c r="D100" s="18">
        <f t="shared" si="34"/>
        <v>0.14531379011377218</v>
      </c>
      <c r="E100" s="18">
        <f t="shared" si="34"/>
        <v>4.2865040714892125E-2</v>
      </c>
      <c r="F100" s="18">
        <f t="shared" si="34"/>
        <v>0.12722959025761787</v>
      </c>
      <c r="G100" s="18">
        <f t="shared" si="33"/>
        <v>6.9944096584090634E-2</v>
      </c>
      <c r="H100" s="18">
        <f t="shared" si="32"/>
        <v>8.2293196467683835E-2</v>
      </c>
      <c r="I100" s="18">
        <f t="shared" si="32"/>
        <v>9.5197921861898571E-2</v>
      </c>
      <c r="J100" s="12">
        <f>J99*(1+Returns!B87)</f>
        <v>67688126.380159661</v>
      </c>
      <c r="K100" s="12">
        <f>K99*(1+Returns!C87)</f>
        <v>22500000</v>
      </c>
      <c r="L100" s="12">
        <f>L99*(1+Returns!D87)</f>
        <v>6637108.6689704703</v>
      </c>
      <c r="M100" s="12">
        <f>M99*(1+Returns!E87)</f>
        <v>19699890.688661434</v>
      </c>
      <c r="N100" s="12">
        <f>N99*(1+Returns!F87)</f>
        <v>10829957.514079643</v>
      </c>
      <c r="O100" s="12">
        <f>O99*(1+Returns!G87)</f>
        <v>12742059.229706928</v>
      </c>
      <c r="P100" s="12">
        <f>P99*(1+Returns!H87)</f>
        <v>14740192.518656997</v>
      </c>
      <c r="Q100" s="12">
        <f t="shared" si="18"/>
        <v>154837335.00023514</v>
      </c>
      <c r="R100" s="12">
        <f t="shared" si="19"/>
        <v>548382.22812583286</v>
      </c>
      <c r="S100" s="12">
        <f t="shared" si="20"/>
        <v>154288952.7721093</v>
      </c>
      <c r="T100" s="12"/>
      <c r="U100" t="b">
        <f t="shared" si="21"/>
        <v>1</v>
      </c>
      <c r="V100" s="12">
        <f>IF($U100=TRUE, $Q100*$C$7, $J100)</f>
        <v>46451200.500070542</v>
      </c>
      <c r="W100" s="12">
        <f>IF($U100=TRUE, $Q100*$C$8, $K100)</f>
        <v>23225600.250035271</v>
      </c>
      <c r="X100" s="12">
        <f>IF($U100=TRUE, $Q100*$C$9, $L100)</f>
        <v>7741866.750011757</v>
      </c>
      <c r="Y100" s="12">
        <f>IF($U100=TRUE, $Q100*$C$10, $M100)</f>
        <v>30967467.000047028</v>
      </c>
      <c r="Z100" s="12">
        <f>IF($U100=TRUE, $Q100*$C$11, $N100)</f>
        <v>15483733.500023514</v>
      </c>
      <c r="AA100" s="12">
        <f>IF($U100=TRUE, $Q100*$C$12, $O100)</f>
        <v>15483733.500023514</v>
      </c>
      <c r="AB100" s="12">
        <f>IF($U100=TRUE, $Q100*$C$13, $P100)</f>
        <v>15483733.500023514</v>
      </c>
      <c r="AC100" s="12">
        <f>V100-(1-$B$3)</f>
        <v>46451199.503612205</v>
      </c>
      <c r="AD100" s="12">
        <f t="shared" si="22"/>
        <v>23143342.915816396</v>
      </c>
      <c r="AE100" s="12">
        <f t="shared" si="23"/>
        <v>7714447.6386054652</v>
      </c>
      <c r="AF100" s="12">
        <f t="shared" si="24"/>
        <v>30857790.554421861</v>
      </c>
      <c r="AG100" s="12">
        <f t="shared" si="25"/>
        <v>15428895.27721093</v>
      </c>
      <c r="AH100" s="12">
        <f t="shared" si="26"/>
        <v>15428895.27721093</v>
      </c>
      <c r="AI100" s="12">
        <f t="shared" si="27"/>
        <v>15428895.27721093</v>
      </c>
      <c r="AJ100" s="12">
        <f t="shared" si="28"/>
        <v>154453466.4440887</v>
      </c>
      <c r="AK100" s="12" t="b">
        <f t="shared" si="29"/>
        <v>1</v>
      </c>
    </row>
    <row r="101" spans="1:37" x14ac:dyDescent="0.2">
      <c r="A101" s="1">
        <f>Returns!A88</f>
        <v>45046</v>
      </c>
      <c r="B101" s="20">
        <f t="shared" si="30"/>
        <v>154288952.7721093</v>
      </c>
      <c r="C101" s="18">
        <f t="shared" si="31"/>
        <v>0.43771452940019356</v>
      </c>
      <c r="D101" s="18">
        <f t="shared" si="34"/>
        <v>0.1474186425317793</v>
      </c>
      <c r="E101" s="18">
        <f t="shared" si="34"/>
        <v>4.1892268240037937E-2</v>
      </c>
      <c r="F101" s="18">
        <f t="shared" si="34"/>
        <v>0.12616239487030428</v>
      </c>
      <c r="G101" s="18">
        <f t="shared" si="33"/>
        <v>6.9134429832009445E-2</v>
      </c>
      <c r="H101" s="18">
        <f t="shared" si="32"/>
        <v>8.1357737518585299E-2</v>
      </c>
      <c r="I101" s="18">
        <f t="shared" si="32"/>
        <v>9.6319997607090077E-2</v>
      </c>
      <c r="J101" s="12">
        <f>J100*(1+Returns!B88)</f>
        <v>68768472.906403914</v>
      </c>
      <c r="K101" s="12">
        <f>K100*(1+Returns!C88)</f>
        <v>23160654.362416111</v>
      </c>
      <c r="L101" s="12">
        <f>L100*(1+Returns!D88)</f>
        <v>6581612.2608508049</v>
      </c>
      <c r="M101" s="12">
        <f>M100*(1+Returns!E88)</f>
        <v>19821126.90052668</v>
      </c>
      <c r="N101" s="12">
        <f>N100*(1+Returns!F88)</f>
        <v>10861574.94318744</v>
      </c>
      <c r="O101" s="12">
        <f>O100*(1+Returns!G88)</f>
        <v>12781954.887218053</v>
      </c>
      <c r="P101" s="12">
        <f>P100*(1+Returns!H88)</f>
        <v>15132646.281732349</v>
      </c>
      <c r="Q101" s="12">
        <f t="shared" si="18"/>
        <v>157108042.54233536</v>
      </c>
      <c r="R101" s="12">
        <f t="shared" si="19"/>
        <v>556424.31733743777</v>
      </c>
      <c r="S101" s="12">
        <f t="shared" si="20"/>
        <v>156551618.22499794</v>
      </c>
      <c r="T101" s="12"/>
      <c r="U101" t="b">
        <f t="shared" si="21"/>
        <v>1</v>
      </c>
      <c r="V101" s="12">
        <f>IF($U101=TRUE, $Q101*$C$7, $J101)</f>
        <v>47132412.76270061</v>
      </c>
      <c r="W101" s="12">
        <f>IF($U101=TRUE, $Q101*$C$8, $K101)</f>
        <v>23566206.381350305</v>
      </c>
      <c r="X101" s="12">
        <f>IF($U101=TRUE, $Q101*$C$9, $L101)</f>
        <v>7855402.1271167686</v>
      </c>
      <c r="Y101" s="12">
        <f>IF($U101=TRUE, $Q101*$C$10, $M101)</f>
        <v>31421608.508467074</v>
      </c>
      <c r="Z101" s="12">
        <f>IF($U101=TRUE, $Q101*$C$11, $N101)</f>
        <v>15710804.254233537</v>
      </c>
      <c r="AA101" s="12">
        <f>IF($U101=TRUE, $Q101*$C$12, $O101)</f>
        <v>15710804.254233537</v>
      </c>
      <c r="AB101" s="12">
        <f>IF($U101=TRUE, $Q101*$C$13, $P101)</f>
        <v>15710804.254233537</v>
      </c>
      <c r="AC101" s="12">
        <f>V101-(1-$B$3)</f>
        <v>47132411.766242273</v>
      </c>
      <c r="AD101" s="12">
        <f t="shared" si="22"/>
        <v>23482742.733749688</v>
      </c>
      <c r="AE101" s="12">
        <f t="shared" si="23"/>
        <v>7827580.9112498965</v>
      </c>
      <c r="AF101" s="12">
        <f t="shared" si="24"/>
        <v>31310323.644999586</v>
      </c>
      <c r="AG101" s="12">
        <f t="shared" si="25"/>
        <v>15655161.822499793</v>
      </c>
      <c r="AH101" s="12">
        <f t="shared" si="26"/>
        <v>15655161.822499793</v>
      </c>
      <c r="AI101" s="12">
        <f t="shared" si="27"/>
        <v>15655161.822499793</v>
      </c>
      <c r="AJ101" s="12">
        <f t="shared" si="28"/>
        <v>156718544.5237408</v>
      </c>
      <c r="AK101" s="12" t="b">
        <f t="shared" si="29"/>
        <v>1</v>
      </c>
    </row>
    <row r="102" spans="1:37" x14ac:dyDescent="0.2">
      <c r="A102" s="1">
        <f>Returns!A89</f>
        <v>45077</v>
      </c>
      <c r="B102" s="20">
        <f t="shared" si="30"/>
        <v>156551618.22499794</v>
      </c>
      <c r="C102" s="18">
        <f t="shared" si="31"/>
        <v>0.44731012516219748</v>
      </c>
      <c r="D102" s="18">
        <f t="shared" si="34"/>
        <v>0.14394878962116614</v>
      </c>
      <c r="E102" s="18">
        <f t="shared" si="34"/>
        <v>4.1590107074483636E-2</v>
      </c>
      <c r="F102" s="18">
        <f t="shared" si="34"/>
        <v>0.12618633471500076</v>
      </c>
      <c r="G102" s="18">
        <f t="shared" si="33"/>
        <v>6.8847389348838106E-2</v>
      </c>
      <c r="H102" s="18">
        <f t="shared" si="32"/>
        <v>7.9480424844534422E-2</v>
      </c>
      <c r="I102" s="18">
        <f t="shared" si="32"/>
        <v>9.2636829233779375E-2</v>
      </c>
      <c r="J102" s="12">
        <f>J101*(1+Returns!B89)</f>
        <v>69086121.963648692</v>
      </c>
      <c r="K102" s="12">
        <f>K101*(1+Returns!C89)</f>
        <v>22232592.281879198</v>
      </c>
      <c r="L102" s="12">
        <f>L101*(1+Returns!D89)</f>
        <v>6423505.8591332091</v>
      </c>
      <c r="M102" s="12">
        <f>M101*(1+Returns!E89)</f>
        <v>19489217.927059524</v>
      </c>
      <c r="N102" s="12">
        <f>N101*(1+Returns!F89)</f>
        <v>10633336.626815539</v>
      </c>
      <c r="O102" s="12">
        <f>O101*(1+Returns!G89)</f>
        <v>12275586.926499929</v>
      </c>
      <c r="P102" s="12">
        <f>P101*(1+Returns!H89)</f>
        <v>14307566.323140856</v>
      </c>
      <c r="Q102" s="12">
        <f t="shared" si="18"/>
        <v>154447927.90817696</v>
      </c>
      <c r="R102" s="12">
        <f t="shared" si="19"/>
        <v>547003.07800812682</v>
      </c>
      <c r="S102" s="12">
        <f t="shared" si="20"/>
        <v>153900924.83016884</v>
      </c>
      <c r="T102" s="12"/>
      <c r="U102" t="b">
        <f t="shared" si="21"/>
        <v>1</v>
      </c>
      <c r="V102" s="12">
        <f>IF($U102=TRUE, $Q102*$C$7, $J102)</f>
        <v>46334378.372453086</v>
      </c>
      <c r="W102" s="12">
        <f>IF($U102=TRUE, $Q102*$C$8, $K102)</f>
        <v>23167189.186226543</v>
      </c>
      <c r="X102" s="12">
        <f>IF($U102=TRUE, $Q102*$C$9, $L102)</f>
        <v>7722396.3954088483</v>
      </c>
      <c r="Y102" s="12">
        <f>IF($U102=TRUE, $Q102*$C$10, $M102)</f>
        <v>30889585.581635393</v>
      </c>
      <c r="Z102" s="12">
        <f>IF($U102=TRUE, $Q102*$C$11, $N102)</f>
        <v>15444792.790817697</v>
      </c>
      <c r="AA102" s="12">
        <f>IF($U102=TRUE, $Q102*$C$12, $O102)</f>
        <v>15444792.790817697</v>
      </c>
      <c r="AB102" s="12">
        <f>IF($U102=TRUE, $Q102*$C$13, $P102)</f>
        <v>15444792.790817697</v>
      </c>
      <c r="AC102" s="12">
        <f>V102-(1-$B$3)</f>
        <v>46334377.375994749</v>
      </c>
      <c r="AD102" s="12">
        <f t="shared" si="22"/>
        <v>23085138.724525325</v>
      </c>
      <c r="AE102" s="12">
        <f t="shared" si="23"/>
        <v>7695046.241508442</v>
      </c>
      <c r="AF102" s="12">
        <f t="shared" si="24"/>
        <v>30780184.966033768</v>
      </c>
      <c r="AG102" s="12">
        <f t="shared" si="25"/>
        <v>15390092.483016884</v>
      </c>
      <c r="AH102" s="12">
        <f t="shared" si="26"/>
        <v>15390092.483016884</v>
      </c>
      <c r="AI102" s="12">
        <f t="shared" si="27"/>
        <v>15390092.483016884</v>
      </c>
      <c r="AJ102" s="12">
        <f t="shared" si="28"/>
        <v>154065024.75711292</v>
      </c>
      <c r="AK102" s="12" t="b">
        <f t="shared" si="29"/>
        <v>1</v>
      </c>
    </row>
    <row r="103" spans="1:37" x14ac:dyDescent="0.2">
      <c r="A103" s="1">
        <f>Returns!A90</f>
        <v>45107</v>
      </c>
      <c r="B103" s="20">
        <f t="shared" si="30"/>
        <v>153900924.83016884</v>
      </c>
      <c r="C103" s="18">
        <f t="shared" si="31"/>
        <v>0.45893544003014503</v>
      </c>
      <c r="D103" s="18">
        <f t="shared" si="34"/>
        <v>0.14229202203766256</v>
      </c>
      <c r="E103" s="18">
        <f t="shared" si="34"/>
        <v>4.1836706564187733E-2</v>
      </c>
      <c r="F103" s="18">
        <f t="shared" si="34"/>
        <v>0.1197752763199211</v>
      </c>
      <c r="G103" s="18">
        <f t="shared" si="33"/>
        <v>6.6657722719882712E-2</v>
      </c>
      <c r="H103" s="18">
        <f t="shared" si="32"/>
        <v>7.9990468855425073E-2</v>
      </c>
      <c r="I103" s="18">
        <f t="shared" si="32"/>
        <v>9.051236347277565E-2</v>
      </c>
      <c r="J103" s="12">
        <f>J102*(1+Returns!B90)</f>
        <v>73563784.610157952</v>
      </c>
      <c r="K103" s="12">
        <f>K102*(1+Returns!C90)</f>
        <v>22808305.369127519</v>
      </c>
      <c r="L103" s="12">
        <f>L102*(1+Returns!D90)</f>
        <v>6706098.9456036175</v>
      </c>
      <c r="M103" s="12">
        <f>M102*(1+Returns!E90)</f>
        <v>19199046.010136139</v>
      </c>
      <c r="N103" s="12">
        <f>N102*(1+Returns!F90)</f>
        <v>10684714.949115705</v>
      </c>
      <c r="O103" s="12">
        <f>O102*(1+Returns!G90)</f>
        <v>12821850.544729175</v>
      </c>
      <c r="P103" s="12">
        <f>P102*(1+Returns!H90)</f>
        <v>14508428.485344779</v>
      </c>
      <c r="Q103" s="12">
        <f t="shared" si="18"/>
        <v>160292228.91421491</v>
      </c>
      <c r="R103" s="12">
        <f t="shared" si="19"/>
        <v>567701.64407117781</v>
      </c>
      <c r="S103" s="12">
        <f t="shared" si="20"/>
        <v>159724527.27014372</v>
      </c>
      <c r="T103" s="12"/>
      <c r="U103" t="b">
        <f t="shared" si="21"/>
        <v>1</v>
      </c>
      <c r="V103" s="12">
        <f>IF($U103=TRUE, $Q103*$C$7, $J103)</f>
        <v>48087668.674264468</v>
      </c>
      <c r="W103" s="12">
        <f>IF($U103=TRUE, $Q103*$C$8, $K103)</f>
        <v>24043834.337132234</v>
      </c>
      <c r="X103" s="12">
        <f>IF($U103=TRUE, $Q103*$C$9, $L103)</f>
        <v>8014611.4457107456</v>
      </c>
      <c r="Y103" s="12">
        <f>IF($U103=TRUE, $Q103*$C$10, $M103)</f>
        <v>32058445.782842983</v>
      </c>
      <c r="Z103" s="12">
        <f>IF($U103=TRUE, $Q103*$C$11, $N103)</f>
        <v>16029222.891421491</v>
      </c>
      <c r="AA103" s="12">
        <f>IF($U103=TRUE, $Q103*$C$12, $O103)</f>
        <v>16029222.891421491</v>
      </c>
      <c r="AB103" s="12">
        <f>IF($U103=TRUE, $Q103*$C$13, $P103)</f>
        <v>16029222.891421491</v>
      </c>
      <c r="AC103" s="12">
        <f>V103-(1-$B$3)</f>
        <v>48087667.677806132</v>
      </c>
      <c r="AD103" s="12">
        <f t="shared" si="22"/>
        <v>23958679.090521559</v>
      </c>
      <c r="AE103" s="12">
        <f t="shared" si="23"/>
        <v>7986226.363507187</v>
      </c>
      <c r="AF103" s="12">
        <f t="shared" si="24"/>
        <v>31944905.454028748</v>
      </c>
      <c r="AG103" s="12">
        <f t="shared" si="25"/>
        <v>15972452.727014374</v>
      </c>
      <c r="AH103" s="12">
        <f t="shared" si="26"/>
        <v>15972452.727014374</v>
      </c>
      <c r="AI103" s="12">
        <f t="shared" si="27"/>
        <v>15972452.727014374</v>
      </c>
      <c r="AJ103" s="12">
        <f t="shared" si="28"/>
        <v>159894836.76690674</v>
      </c>
      <c r="AK103" s="12" t="b">
        <f t="shared" si="29"/>
        <v>1</v>
      </c>
    </row>
    <row r="104" spans="1:37" x14ac:dyDescent="0.2">
      <c r="A104" s="1">
        <f>Returns!A91</f>
        <v>45138</v>
      </c>
      <c r="B104" s="20">
        <f t="shared" si="30"/>
        <v>159724527.27014372</v>
      </c>
      <c r="C104" s="18">
        <f t="shared" si="31"/>
        <v>0.46310091689653854</v>
      </c>
      <c r="D104" s="18">
        <f t="shared" si="34"/>
        <v>0.14279305395516192</v>
      </c>
      <c r="E104" s="18">
        <f t="shared" si="34"/>
        <v>4.3348489308852135E-2</v>
      </c>
      <c r="F104" s="18">
        <f t="shared" si="34"/>
        <v>0.11599118463993113</v>
      </c>
      <c r="G104" s="18">
        <f t="shared" si="33"/>
        <v>6.4956970591997801E-2</v>
      </c>
      <c r="H104" s="18">
        <f t="shared" si="32"/>
        <v>7.9749256931564039E-2</v>
      </c>
      <c r="I104" s="18">
        <f t="shared" si="32"/>
        <v>9.0060127675954393E-2</v>
      </c>
      <c r="J104" s="12">
        <f>J103*(1+Returns!B91)</f>
        <v>75970783.08136569</v>
      </c>
      <c r="K104" s="12">
        <f>K103*(1+Returns!C91)</f>
        <v>23424916.107382551</v>
      </c>
      <c r="L104" s="12">
        <f>L103*(1+Returns!D91)</f>
        <v>7111233.3360450761</v>
      </c>
      <c r="M104" s="12">
        <f>M103*(1+Returns!E91)</f>
        <v>19028122.826194968</v>
      </c>
      <c r="N104" s="12">
        <f>N103*(1+Returns!F91)</f>
        <v>10656061.653986763</v>
      </c>
      <c r="O104" s="12">
        <f>O103*(1+Returns!G91)</f>
        <v>13082706.766917299</v>
      </c>
      <c r="P104" s="12">
        <f>P103*(1+Returns!H91)</f>
        <v>14774184.576876121</v>
      </c>
      <c r="Q104" s="12">
        <f t="shared" si="18"/>
        <v>164048008.34876847</v>
      </c>
      <c r="R104" s="12">
        <f t="shared" si="19"/>
        <v>581003.36290188844</v>
      </c>
      <c r="S104" s="12">
        <f t="shared" si="20"/>
        <v>163467004.98586658</v>
      </c>
      <c r="T104" s="12"/>
      <c r="U104" t="b">
        <f t="shared" si="21"/>
        <v>1</v>
      </c>
      <c r="V104" s="12">
        <f>IF($U104=TRUE, $Q104*$C$7, $J104)</f>
        <v>49214402.504630543</v>
      </c>
      <c r="W104" s="12">
        <f>IF($U104=TRUE, $Q104*$C$8, $K104)</f>
        <v>24607201.252315272</v>
      </c>
      <c r="X104" s="12">
        <f>IF($U104=TRUE, $Q104*$C$9, $L104)</f>
        <v>8202400.4174384242</v>
      </c>
      <c r="Y104" s="12">
        <f>IF($U104=TRUE, $Q104*$C$10, $M104)</f>
        <v>32809601.669753697</v>
      </c>
      <c r="Z104" s="12">
        <f>IF($U104=TRUE, $Q104*$C$11, $N104)</f>
        <v>16404800.834876848</v>
      </c>
      <c r="AA104" s="12">
        <f>IF($U104=TRUE, $Q104*$C$12, $O104)</f>
        <v>16404800.834876848</v>
      </c>
      <c r="AB104" s="12">
        <f>IF($U104=TRUE, $Q104*$C$13, $P104)</f>
        <v>16404800.834876848</v>
      </c>
      <c r="AC104" s="12">
        <f>V104-(1-$B$3)</f>
        <v>49214401.508172207</v>
      </c>
      <c r="AD104" s="12">
        <f t="shared" si="22"/>
        <v>24520050.747879989</v>
      </c>
      <c r="AE104" s="12">
        <f t="shared" si="23"/>
        <v>8173350.2492933301</v>
      </c>
      <c r="AF104" s="12">
        <f t="shared" si="24"/>
        <v>32693400.997173321</v>
      </c>
      <c r="AG104" s="12">
        <f t="shared" si="25"/>
        <v>16346700.49858666</v>
      </c>
      <c r="AH104" s="12">
        <f t="shared" si="26"/>
        <v>16346700.49858666</v>
      </c>
      <c r="AI104" s="12">
        <f t="shared" si="27"/>
        <v>16346700.49858666</v>
      </c>
      <c r="AJ104" s="12">
        <f t="shared" si="28"/>
        <v>163641304.99827883</v>
      </c>
      <c r="AK104" s="12" t="b">
        <f t="shared" si="29"/>
        <v>1</v>
      </c>
    </row>
    <row r="105" spans="1:37" x14ac:dyDescent="0.2">
      <c r="A105" s="1">
        <f>Returns!A92</f>
        <v>45169</v>
      </c>
      <c r="B105" s="20">
        <f t="shared" si="30"/>
        <v>163467004.98586658</v>
      </c>
      <c r="C105" s="18">
        <f t="shared" si="31"/>
        <v>0.46741474985419645</v>
      </c>
      <c r="D105" s="18">
        <f t="shared" si="34"/>
        <v>0.14073970023126897</v>
      </c>
      <c r="E105" s="18">
        <f t="shared" si="34"/>
        <v>4.1527878234769777E-2</v>
      </c>
      <c r="F105" s="18">
        <f t="shared" si="34"/>
        <v>0.11783769658507762</v>
      </c>
      <c r="G105" s="18">
        <f t="shared" si="33"/>
        <v>6.5601061875199942E-2</v>
      </c>
      <c r="H105" s="18">
        <f t="shared" si="32"/>
        <v>7.9058296268475492E-2</v>
      </c>
      <c r="I105" s="18">
        <f t="shared" si="32"/>
        <v>8.7820616951011593E-2</v>
      </c>
      <c r="J105" s="12">
        <f>J104*(1+Returns!B92)</f>
        <v>74735858.671649367</v>
      </c>
      <c r="K105" s="12">
        <f>K104*(1+Returns!C92)</f>
        <v>22503145.973154366</v>
      </c>
      <c r="L105" s="12">
        <f>L104*(1+Returns!D92)</f>
        <v>6639973.6843036078</v>
      </c>
      <c r="M105" s="12">
        <f>M104*(1+Returns!E92)</f>
        <v>18841299.811189502</v>
      </c>
      <c r="N105" s="12">
        <f>N104*(1+Returns!F92)</f>
        <v>10489082.106511217</v>
      </c>
      <c r="O105" s="12">
        <f>O104*(1+Returns!G92)</f>
        <v>12640785.637563299</v>
      </c>
      <c r="P105" s="12">
        <f>P104*(1+Returns!H92)</f>
        <v>14041810.231609514</v>
      </c>
      <c r="Q105" s="12">
        <f t="shared" si="18"/>
        <v>159891956.11598089</v>
      </c>
      <c r="R105" s="12">
        <f t="shared" si="19"/>
        <v>566284.01124409901</v>
      </c>
      <c r="S105" s="12">
        <f t="shared" si="20"/>
        <v>159325672.1047368</v>
      </c>
      <c r="T105" s="12"/>
      <c r="U105" t="b">
        <f t="shared" si="21"/>
        <v>1</v>
      </c>
      <c r="V105" s="12">
        <f>IF($U105=TRUE, $Q105*$C$7, $J105)</f>
        <v>47967586.834794268</v>
      </c>
      <c r="W105" s="12">
        <f>IF($U105=TRUE, $Q105*$C$8, $K105)</f>
        <v>23983793.417397134</v>
      </c>
      <c r="X105" s="12">
        <f>IF($U105=TRUE, $Q105*$C$9, $L105)</f>
        <v>7994597.8057990447</v>
      </c>
      <c r="Y105" s="12">
        <f>IF($U105=TRUE, $Q105*$C$10, $M105)</f>
        <v>31978391.223196179</v>
      </c>
      <c r="Z105" s="12">
        <f>IF($U105=TRUE, $Q105*$C$11, $N105)</f>
        <v>15989195.611598089</v>
      </c>
      <c r="AA105" s="12">
        <f>IF($U105=TRUE, $Q105*$C$12, $O105)</f>
        <v>15989195.611598089</v>
      </c>
      <c r="AB105" s="12">
        <f>IF($U105=TRUE, $Q105*$C$13, $P105)</f>
        <v>15989195.611598089</v>
      </c>
      <c r="AC105" s="12">
        <f>V105-(1-$B$3)</f>
        <v>47967585.838335931</v>
      </c>
      <c r="AD105" s="12">
        <f t="shared" si="22"/>
        <v>23898850.815710519</v>
      </c>
      <c r="AE105" s="12">
        <f t="shared" si="23"/>
        <v>7966283.6052368395</v>
      </c>
      <c r="AF105" s="12">
        <f t="shared" si="24"/>
        <v>31865134.420947358</v>
      </c>
      <c r="AG105" s="12">
        <f t="shared" si="25"/>
        <v>15932567.210473679</v>
      </c>
      <c r="AH105" s="12">
        <f t="shared" si="26"/>
        <v>15932567.210473679</v>
      </c>
      <c r="AI105" s="12">
        <f t="shared" si="27"/>
        <v>15932567.210473679</v>
      </c>
      <c r="AJ105" s="12">
        <f t="shared" si="28"/>
        <v>159495556.31165171</v>
      </c>
      <c r="AK105" s="12" t="b">
        <f t="shared" si="29"/>
        <v>1</v>
      </c>
    </row>
    <row r="106" spans="1:37" x14ac:dyDescent="0.2">
      <c r="A106" s="1">
        <f>Returns!A93</f>
        <v>45199</v>
      </c>
      <c r="B106" s="20">
        <f t="shared" si="30"/>
        <v>159325672.1047368</v>
      </c>
      <c r="C106" s="18">
        <f t="shared" si="31"/>
        <v>0.46659091806424102</v>
      </c>
      <c r="D106" s="18">
        <f t="shared" si="34"/>
        <v>0.14210617087526772</v>
      </c>
      <c r="E106" s="18">
        <f t="shared" si="34"/>
        <v>4.2163663587296764E-2</v>
      </c>
      <c r="F106" s="18">
        <f t="shared" si="34"/>
        <v>0.11930626178722872</v>
      </c>
      <c r="G106" s="18">
        <f t="shared" si="33"/>
        <v>6.606547328232705E-2</v>
      </c>
      <c r="H106" s="18">
        <f t="shared" si="32"/>
        <v>7.6090646167219764E-2</v>
      </c>
      <c r="I106" s="18">
        <f t="shared" si="32"/>
        <v>8.7676866236419002E-2</v>
      </c>
      <c r="J106" s="12">
        <f>J105*(1+Returns!B93)</f>
        <v>71190759.300152853</v>
      </c>
      <c r="K106" s="12">
        <f>K105*(1+Returns!C93)</f>
        <v>21682046.979865775</v>
      </c>
      <c r="L106" s="12">
        <f>L105*(1+Returns!D93)</f>
        <v>6433179.7072025081</v>
      </c>
      <c r="M106" s="12">
        <f>M105*(1+Returns!E93)</f>
        <v>18203319.08973467</v>
      </c>
      <c r="N106" s="12">
        <f>N105*(1+Returns!F93)</f>
        <v>10080031.617429109</v>
      </c>
      <c r="O106" s="12">
        <f>O105*(1+Returns!G93)</f>
        <v>11609636.335737305</v>
      </c>
      <c r="P106" s="12">
        <f>P105*(1+Returns!H93)</f>
        <v>13377420.00278116</v>
      </c>
      <c r="Q106" s="12">
        <f t="shared" si="18"/>
        <v>152576393.03290337</v>
      </c>
      <c r="R106" s="12">
        <f t="shared" si="19"/>
        <v>540374.72532486613</v>
      </c>
      <c r="S106" s="12">
        <f t="shared" si="20"/>
        <v>152036018.3075785</v>
      </c>
      <c r="T106" s="12"/>
      <c r="U106" t="b">
        <f t="shared" si="21"/>
        <v>1</v>
      </c>
      <c r="V106" s="12">
        <f>IF($U106=TRUE, $Q106*$C$7, $J106)</f>
        <v>45772917.909871012</v>
      </c>
      <c r="W106" s="12">
        <f>IF($U106=TRUE, $Q106*$C$8, $K106)</f>
        <v>22886458.954935506</v>
      </c>
      <c r="X106" s="12">
        <f>IF($U106=TRUE, $Q106*$C$9, $L106)</f>
        <v>7628819.6516451687</v>
      </c>
      <c r="Y106" s="12">
        <f>IF($U106=TRUE, $Q106*$C$10, $M106)</f>
        <v>30515278.606580675</v>
      </c>
      <c r="Z106" s="12">
        <f>IF($U106=TRUE, $Q106*$C$11, $N106)</f>
        <v>15257639.303290337</v>
      </c>
      <c r="AA106" s="12">
        <f>IF($U106=TRUE, $Q106*$C$12, $O106)</f>
        <v>15257639.303290337</v>
      </c>
      <c r="AB106" s="12">
        <f>IF($U106=TRUE, $Q106*$C$13, $P106)</f>
        <v>15257639.303290337</v>
      </c>
      <c r="AC106" s="12">
        <f>V106-(1-$B$3)</f>
        <v>45772916.913412675</v>
      </c>
      <c r="AD106" s="12">
        <f t="shared" si="22"/>
        <v>22805402.746136777</v>
      </c>
      <c r="AE106" s="12">
        <f t="shared" si="23"/>
        <v>7601800.9153789254</v>
      </c>
      <c r="AF106" s="12">
        <f t="shared" si="24"/>
        <v>30407203.661515702</v>
      </c>
      <c r="AG106" s="12">
        <f t="shared" si="25"/>
        <v>15203601.830757851</v>
      </c>
      <c r="AH106" s="12">
        <f t="shared" si="26"/>
        <v>15203601.830757851</v>
      </c>
      <c r="AI106" s="12">
        <f t="shared" si="27"/>
        <v>15203601.830757851</v>
      </c>
      <c r="AJ106" s="12">
        <f t="shared" si="28"/>
        <v>152198129.72871763</v>
      </c>
      <c r="AK106" s="12" t="b">
        <f t="shared" si="29"/>
        <v>1</v>
      </c>
    </row>
    <row r="107" spans="1:37" x14ac:dyDescent="0.2">
      <c r="A107" s="1">
        <f>Returns!A94</f>
        <v>45230</v>
      </c>
      <c r="B107" s="20">
        <f t="shared" si="30"/>
        <v>152036018.3075785</v>
      </c>
      <c r="C107" s="18">
        <f t="shared" si="31"/>
        <v>0.46825970647061488</v>
      </c>
      <c r="D107" s="18">
        <f t="shared" si="34"/>
        <v>0.14154936070664606</v>
      </c>
      <c r="E107" s="18">
        <f t="shared" si="34"/>
        <v>4.1828890438934389E-2</v>
      </c>
      <c r="F107" s="18">
        <f t="shared" si="34"/>
        <v>0.11971788264354519</v>
      </c>
      <c r="G107" s="18">
        <f t="shared" si="33"/>
        <v>6.5880040278218269E-2</v>
      </c>
      <c r="H107" s="18">
        <f t="shared" si="32"/>
        <v>7.5230839239996669E-2</v>
      </c>
      <c r="I107" s="18">
        <f t="shared" si="32"/>
        <v>8.7533280222044568E-2</v>
      </c>
      <c r="J107" s="12">
        <f>J106*(1+Returns!B94)</f>
        <v>69644980.465432286</v>
      </c>
      <c r="K107" s="12">
        <f>K106*(1+Returns!C94)</f>
        <v>21052852.348993294</v>
      </c>
      <c r="L107" s="12">
        <f>L106*(1+Returns!D94)</f>
        <v>6221274.6842293292</v>
      </c>
      <c r="M107" s="12">
        <f>M106*(1+Returns!E94)</f>
        <v>17805823.313127298</v>
      </c>
      <c r="N107" s="12">
        <f>N106*(1+Returns!F94)</f>
        <v>9798438.889437804</v>
      </c>
      <c r="O107" s="12">
        <f>O106*(1+Returns!G94)</f>
        <v>11189197.483504683</v>
      </c>
      <c r="P107" s="12">
        <f>P106*(1+Returns!H94)</f>
        <v>13018958.297924932</v>
      </c>
      <c r="Q107" s="12">
        <f t="shared" si="18"/>
        <v>148731525.48264962</v>
      </c>
      <c r="R107" s="12">
        <f t="shared" si="19"/>
        <v>526757.48608438415</v>
      </c>
      <c r="S107" s="12">
        <f t="shared" si="20"/>
        <v>148204767.99656525</v>
      </c>
      <c r="T107" s="12"/>
      <c r="U107" t="b">
        <f t="shared" si="21"/>
        <v>1</v>
      </c>
      <c r="V107" s="12">
        <f>IF($U107=TRUE, $Q107*$C$7, $J107)</f>
        <v>44619457.644794889</v>
      </c>
      <c r="W107" s="12">
        <f>IF($U107=TRUE, $Q107*$C$8, $K107)</f>
        <v>22309728.822397444</v>
      </c>
      <c r="X107" s="12">
        <f>IF($U107=TRUE, $Q107*$C$9, $L107)</f>
        <v>7436576.2741324818</v>
      </c>
      <c r="Y107" s="12">
        <f>IF($U107=TRUE, $Q107*$C$10, $M107)</f>
        <v>29746305.096529927</v>
      </c>
      <c r="Z107" s="12">
        <f>IF($U107=TRUE, $Q107*$C$11, $N107)</f>
        <v>14873152.548264964</v>
      </c>
      <c r="AA107" s="12">
        <f>IF($U107=TRUE, $Q107*$C$12, $O107)</f>
        <v>14873152.548264964</v>
      </c>
      <c r="AB107" s="12">
        <f>IF($U107=TRUE, $Q107*$C$13, $P107)</f>
        <v>14873152.548264964</v>
      </c>
      <c r="AC107" s="12">
        <f>V107-(1-$B$3)</f>
        <v>44619456.648336552</v>
      </c>
      <c r="AD107" s="12">
        <f t="shared" si="22"/>
        <v>22230715.199484788</v>
      </c>
      <c r="AE107" s="12">
        <f t="shared" si="23"/>
        <v>7410238.3998282626</v>
      </c>
      <c r="AF107" s="12">
        <f t="shared" si="24"/>
        <v>29640953.599313051</v>
      </c>
      <c r="AG107" s="12">
        <f t="shared" si="25"/>
        <v>14820476.799656525</v>
      </c>
      <c r="AH107" s="12">
        <f t="shared" si="26"/>
        <v>14820476.799656525</v>
      </c>
      <c r="AI107" s="12">
        <f t="shared" si="27"/>
        <v>14820476.799656525</v>
      </c>
      <c r="AJ107" s="12">
        <f t="shared" si="28"/>
        <v>148362794.24593222</v>
      </c>
      <c r="AK107" s="12" t="b">
        <f t="shared" si="29"/>
        <v>1</v>
      </c>
    </row>
    <row r="108" spans="1:37" x14ac:dyDescent="0.2">
      <c r="A108" s="1">
        <f>Returns!A95</f>
        <v>45260</v>
      </c>
      <c r="B108" s="20">
        <f t="shared" si="30"/>
        <v>148204767.99656525</v>
      </c>
      <c r="C108" s="18">
        <f t="shared" si="31"/>
        <v>0.47110893994008318</v>
      </c>
      <c r="D108" s="18">
        <f t="shared" si="34"/>
        <v>0.14121300535697304</v>
      </c>
      <c r="E108" s="18">
        <f t="shared" si="34"/>
        <v>4.1565319212197666E-2</v>
      </c>
      <c r="F108" s="18">
        <f t="shared" si="34"/>
        <v>0.11506866067593115</v>
      </c>
      <c r="G108" s="18">
        <f t="shared" si="33"/>
        <v>6.5092379136160658E-2</v>
      </c>
      <c r="H108" s="18">
        <f t="shared" si="32"/>
        <v>7.7731122817825696E-2</v>
      </c>
      <c r="I108" s="18">
        <f t="shared" si="32"/>
        <v>8.8220572860828628E-2</v>
      </c>
      <c r="J108" s="12">
        <f>J107*(1+Returns!B95)</f>
        <v>76008153.558688596</v>
      </c>
      <c r="K108" s="12">
        <f>K107*(1+Returns!C95)</f>
        <v>22783137.583892621</v>
      </c>
      <c r="L108" s="12">
        <f>L107*(1+Returns!D95)</f>
        <v>6706098.9456036165</v>
      </c>
      <c r="M108" s="12">
        <f>M107*(1+Returns!E95)</f>
        <v>18565040.246447381</v>
      </c>
      <c r="N108" s="12">
        <f>N107*(1+Returns!F95)</f>
        <v>10501926.687086258</v>
      </c>
      <c r="O108" s="12">
        <f>O107*(1+Returns!G95)</f>
        <v>12541046.493785487</v>
      </c>
      <c r="P108" s="12">
        <f>P107*(1+Returns!H95)</f>
        <v>14233401.83248095</v>
      </c>
      <c r="Q108" s="12">
        <f t="shared" si="18"/>
        <v>161338805.34798491</v>
      </c>
      <c r="R108" s="12">
        <f t="shared" si="19"/>
        <v>571408.26894077996</v>
      </c>
      <c r="S108" s="12">
        <f t="shared" si="20"/>
        <v>160767397.07904413</v>
      </c>
      <c r="T108" s="12"/>
      <c r="U108" t="b">
        <f t="shared" si="21"/>
        <v>1</v>
      </c>
      <c r="V108" s="12">
        <f>IF($U108=TRUE, $Q108*$C$7, $J108)</f>
        <v>48401641.604395472</v>
      </c>
      <c r="W108" s="12">
        <f>IF($U108=TRUE, $Q108*$C$8, $K108)</f>
        <v>24200820.802197736</v>
      </c>
      <c r="X108" s="12">
        <f>IF($U108=TRUE, $Q108*$C$9, $L108)</f>
        <v>8066940.2673992459</v>
      </c>
      <c r="Y108" s="12">
        <f>IF($U108=TRUE, $Q108*$C$10, $M108)</f>
        <v>32267761.069596983</v>
      </c>
      <c r="Z108" s="12">
        <f>IF($U108=TRUE, $Q108*$C$11, $N108)</f>
        <v>16133880.534798492</v>
      </c>
      <c r="AA108" s="12">
        <f>IF($U108=TRUE, $Q108*$C$12, $O108)</f>
        <v>16133880.534798492</v>
      </c>
      <c r="AB108" s="12">
        <f>IF($U108=TRUE, $Q108*$C$13, $P108)</f>
        <v>16133880.534798492</v>
      </c>
      <c r="AC108" s="12">
        <f>V108-(1-$B$3)</f>
        <v>48401640.607937135</v>
      </c>
      <c r="AD108" s="12">
        <f t="shared" si="22"/>
        <v>24115109.56185662</v>
      </c>
      <c r="AE108" s="12">
        <f t="shared" si="23"/>
        <v>8038369.8539522067</v>
      </c>
      <c r="AF108" s="12">
        <f t="shared" si="24"/>
        <v>32153479.415808827</v>
      </c>
      <c r="AG108" s="12">
        <f t="shared" si="25"/>
        <v>16076739.707904413</v>
      </c>
      <c r="AH108" s="12">
        <f t="shared" si="26"/>
        <v>16076739.707904413</v>
      </c>
      <c r="AI108" s="12">
        <f t="shared" si="27"/>
        <v>16076739.707904413</v>
      </c>
      <c r="AJ108" s="12">
        <f t="shared" si="28"/>
        <v>160938818.56326801</v>
      </c>
      <c r="AK108" s="12" t="b">
        <f t="shared" si="29"/>
        <v>1</v>
      </c>
    </row>
    <row r="109" spans="1:37" x14ac:dyDescent="0.2">
      <c r="A109" s="1">
        <f>Returns!A96</f>
        <v>45291</v>
      </c>
      <c r="B109" s="20">
        <f t="shared" si="30"/>
        <v>160767397.07904413</v>
      </c>
      <c r="C109" s="18">
        <f t="shared" si="31"/>
        <v>0.47218908200511606</v>
      </c>
      <c r="D109" s="18">
        <f t="shared" si="34"/>
        <v>0.14083602685128999</v>
      </c>
      <c r="E109" s="18">
        <f t="shared" si="34"/>
        <v>4.1262971307803313E-2</v>
      </c>
      <c r="F109" s="18">
        <f t="shared" si="34"/>
        <v>0.11381775074889339</v>
      </c>
      <c r="G109" s="18">
        <f t="shared" si="33"/>
        <v>6.4959509457040598E-2</v>
      </c>
      <c r="H109" s="18">
        <f t="shared" si="32"/>
        <v>8.055332691891337E-2</v>
      </c>
      <c r="I109" s="18">
        <f t="shared" si="32"/>
        <v>8.6381332710943295E-2</v>
      </c>
      <c r="J109" s="12">
        <f>J108*(1+Returns!B96)</f>
        <v>79476813.317479149</v>
      </c>
      <c r="K109" s="12">
        <f>K108*(1+Returns!C96)</f>
        <v>23704907.718120806</v>
      </c>
      <c r="L109" s="12">
        <f>L108*(1+Returns!D96)</f>
        <v>6945203.9289617678</v>
      </c>
      <c r="M109" s="12">
        <f>M108*(1+Returns!E96)</f>
        <v>19157308.953592371</v>
      </c>
      <c r="N109" s="12">
        <f>N108*(1+Returns!F96)</f>
        <v>10933702.203339593</v>
      </c>
      <c r="O109" s="12">
        <f>O108*(1+Returns!G96)</f>
        <v>13558385.760319168</v>
      </c>
      <c r="P109" s="12">
        <f>P108*(1+Returns!H96)</f>
        <v>14539330.356453076</v>
      </c>
      <c r="Q109" s="12">
        <f t="shared" si="18"/>
        <v>168315652.23826593</v>
      </c>
      <c r="R109" s="12">
        <f t="shared" si="19"/>
        <v>596117.93501052517</v>
      </c>
      <c r="S109" s="12">
        <f t="shared" si="20"/>
        <v>167719534.30325541</v>
      </c>
      <c r="T109" s="12"/>
      <c r="U109" t="b">
        <f t="shared" si="21"/>
        <v>1</v>
      </c>
      <c r="V109" s="12">
        <f>IF($U109=TRUE, $Q109*$C$7, $J109)</f>
        <v>50494695.671479777</v>
      </c>
      <c r="W109" s="12">
        <f>IF($U109=TRUE, $Q109*$C$8, $K109)</f>
        <v>25247347.835739888</v>
      </c>
      <c r="X109" s="12">
        <f>IF($U109=TRUE, $Q109*$C$9, $L109)</f>
        <v>8415782.6119132973</v>
      </c>
      <c r="Y109" s="12">
        <f>IF($U109=TRUE, $Q109*$C$10, $M109)</f>
        <v>33663130.447653189</v>
      </c>
      <c r="Z109" s="12">
        <f>IF($U109=TRUE, $Q109*$C$11, $N109)</f>
        <v>16831565.223826595</v>
      </c>
      <c r="AA109" s="12">
        <f>IF($U109=TRUE, $Q109*$C$12, $O109)</f>
        <v>16831565.223826595</v>
      </c>
      <c r="AB109" s="12">
        <f>IF($U109=TRUE, $Q109*$C$13, $P109)</f>
        <v>16831565.223826595</v>
      </c>
      <c r="AC109" s="12">
        <f>V109-(1-$B$3)</f>
        <v>50494694.67502144</v>
      </c>
      <c r="AD109" s="12">
        <f t="shared" si="22"/>
        <v>25157930.145488311</v>
      </c>
      <c r="AE109" s="12">
        <f t="shared" si="23"/>
        <v>8385976.7151627708</v>
      </c>
      <c r="AF109" s="12">
        <f t="shared" si="24"/>
        <v>33543906.860651083</v>
      </c>
      <c r="AG109" s="12">
        <f t="shared" si="25"/>
        <v>16771953.430325542</v>
      </c>
      <c r="AH109" s="12">
        <f t="shared" si="26"/>
        <v>16771953.430325542</v>
      </c>
      <c r="AI109" s="12">
        <f t="shared" si="27"/>
        <v>16771953.430325542</v>
      </c>
      <c r="AJ109" s="12">
        <f t="shared" si="28"/>
        <v>167898368.68730021</v>
      </c>
      <c r="AK109" s="12" t="b">
        <f t="shared" si="29"/>
        <v>1</v>
      </c>
    </row>
    <row r="110" spans="1:37" x14ac:dyDescent="0.2">
      <c r="A110" s="1">
        <f>Returns!A97</f>
        <v>45322</v>
      </c>
      <c r="B110" s="20">
        <f t="shared" si="30"/>
        <v>167719534.30325541</v>
      </c>
      <c r="C110" s="18">
        <f t="shared" si="31"/>
        <v>0.48084242442897535</v>
      </c>
      <c r="D110" s="18">
        <f t="shared" si="34"/>
        <v>0.1405292181354604</v>
      </c>
      <c r="E110" s="18">
        <f t="shared" si="34"/>
        <v>3.9487671948580293E-2</v>
      </c>
      <c r="F110" s="18">
        <f t="shared" si="34"/>
        <v>0.11416743207701299</v>
      </c>
      <c r="G110" s="18">
        <f t="shared" si="33"/>
        <v>6.4823485174575535E-2</v>
      </c>
      <c r="H110" s="18">
        <f t="shared" si="32"/>
        <v>7.6657548348289833E-2</v>
      </c>
      <c r="I110" s="18">
        <f t="shared" si="32"/>
        <v>8.3492219887105798E-2</v>
      </c>
      <c r="J110" s="12">
        <f>J109*(1+Returns!B97)</f>
        <v>80744012.230337977</v>
      </c>
      <c r="K110" s="12">
        <f>K109*(1+Returns!C97)</f>
        <v>23597944.630872488</v>
      </c>
      <c r="L110" s="12">
        <f>L109*(1+Returns!D97)</f>
        <v>6630848.0799091691</v>
      </c>
      <c r="M110" s="12">
        <f>M109*(1+Returns!E97)</f>
        <v>19171221.305773627</v>
      </c>
      <c r="N110" s="12">
        <f>N109*(1+Returns!F97)</f>
        <v>10885288.015018282</v>
      </c>
      <c r="O110" s="12">
        <f>O109*(1+Returns!G97)</f>
        <v>12872487.340800986</v>
      </c>
      <c r="P110" s="12">
        <f>P109*(1+Returns!H97)</f>
        <v>14020178.921833709</v>
      </c>
      <c r="Q110" s="12">
        <f t="shared" si="18"/>
        <v>167921980.52454621</v>
      </c>
      <c r="R110" s="12">
        <f t="shared" si="19"/>
        <v>594723.68102443451</v>
      </c>
      <c r="S110" s="12">
        <f t="shared" si="20"/>
        <v>167327256.84352177</v>
      </c>
      <c r="T110" s="12"/>
      <c r="U110" t="b">
        <f t="shared" si="21"/>
        <v>1</v>
      </c>
      <c r="V110" s="12">
        <f>IF($U110=TRUE, $Q110*$C$7, $J110)</f>
        <v>50376594.157363862</v>
      </c>
      <c r="W110" s="12">
        <f>IF($U110=TRUE, $Q110*$C$8, $K110)</f>
        <v>25188297.078681931</v>
      </c>
      <c r="X110" s="12">
        <f>IF($U110=TRUE, $Q110*$C$9, $L110)</f>
        <v>8396099.0262273103</v>
      </c>
      <c r="Y110" s="12">
        <f>IF($U110=TRUE, $Q110*$C$10, $M110)</f>
        <v>33584396.104909241</v>
      </c>
      <c r="Z110" s="12">
        <f>IF($U110=TRUE, $Q110*$C$11, $N110)</f>
        <v>16792198.052454621</v>
      </c>
      <c r="AA110" s="12">
        <f>IF($U110=TRUE, $Q110*$C$12, $O110)</f>
        <v>16792198.052454621</v>
      </c>
      <c r="AB110" s="12">
        <f>IF($U110=TRUE, $Q110*$C$13, $P110)</f>
        <v>16792198.052454621</v>
      </c>
      <c r="AC110" s="12">
        <f>V110-(1-$B$3)</f>
        <v>50376593.160905525</v>
      </c>
      <c r="AD110" s="12">
        <f t="shared" si="22"/>
        <v>25099088.526528265</v>
      </c>
      <c r="AE110" s="12">
        <f t="shared" si="23"/>
        <v>8366362.8421760881</v>
      </c>
      <c r="AF110" s="12">
        <f t="shared" si="24"/>
        <v>33465451.368704353</v>
      </c>
      <c r="AG110" s="12">
        <f t="shared" si="25"/>
        <v>16732725.684352176</v>
      </c>
      <c r="AH110" s="12">
        <f t="shared" si="26"/>
        <v>16732725.684352176</v>
      </c>
      <c r="AI110" s="12">
        <f t="shared" si="27"/>
        <v>16732725.684352176</v>
      </c>
      <c r="AJ110" s="12">
        <f t="shared" si="28"/>
        <v>167505672.95137078</v>
      </c>
      <c r="AK110" s="12" t="b">
        <f t="shared" si="29"/>
        <v>1</v>
      </c>
    </row>
    <row r="111" spans="1:37" x14ac:dyDescent="0.2">
      <c r="A111" s="1">
        <f>Returns!A98</f>
        <v>45351</v>
      </c>
      <c r="B111" s="20">
        <f t="shared" si="30"/>
        <v>167327256.84352177</v>
      </c>
      <c r="C111" s="18">
        <f t="shared" si="31"/>
        <v>0.4917594339748303</v>
      </c>
      <c r="D111" s="18">
        <f t="shared" si="34"/>
        <v>0.14067231892874688</v>
      </c>
      <c r="E111" s="18">
        <f t="shared" si="34"/>
        <v>3.9981314468354436E-2</v>
      </c>
      <c r="F111" s="18">
        <f t="shared" si="34"/>
        <v>0.10839288336936016</v>
      </c>
      <c r="G111" s="18">
        <f t="shared" si="33"/>
        <v>6.1572402101802592E-2</v>
      </c>
      <c r="H111" s="18">
        <f t="shared" si="32"/>
        <v>7.5984925002687387E-2</v>
      </c>
      <c r="I111" s="18">
        <f t="shared" si="32"/>
        <v>8.1636722154218064E-2</v>
      </c>
      <c r="J111" s="12">
        <f>J110*(1+Returns!B98)</f>
        <v>84956684.219466567</v>
      </c>
      <c r="K111" s="12">
        <f>K110*(1+Returns!C98)</f>
        <v>24302642.617449667</v>
      </c>
      <c r="L111" s="12">
        <f>L110*(1+Returns!D98)</f>
        <v>6907198.2625981094</v>
      </c>
      <c r="M111" s="12">
        <f>M110*(1+Returns!E98)</f>
        <v>18726026.03597337</v>
      </c>
      <c r="N111" s="12">
        <f>N110*(1+Returns!F98)</f>
        <v>10637288.805454008</v>
      </c>
      <c r="O111" s="12">
        <f>O110*(1+Returns!G98)</f>
        <v>13127205.769525858</v>
      </c>
      <c r="P111" s="12">
        <f>P110*(1+Returns!H98)</f>
        <v>14103613.973826109</v>
      </c>
      <c r="Q111" s="12">
        <f t="shared" si="18"/>
        <v>172760659.68429372</v>
      </c>
      <c r="R111" s="12">
        <f t="shared" si="19"/>
        <v>611860.66971520695</v>
      </c>
      <c r="S111" s="12">
        <f t="shared" si="20"/>
        <v>172148799.01457852</v>
      </c>
      <c r="T111" s="12"/>
      <c r="U111" t="b">
        <f t="shared" si="21"/>
        <v>1</v>
      </c>
      <c r="V111" s="12">
        <f>IF($U111=TRUE, $Q111*$C$7, $J111)</f>
        <v>51828197.905288115</v>
      </c>
      <c r="W111" s="12">
        <f>IF($U111=TRUE, $Q111*$C$8, $K111)</f>
        <v>25914098.952644058</v>
      </c>
      <c r="X111" s="12">
        <f>IF($U111=TRUE, $Q111*$C$9, $L111)</f>
        <v>8638032.9842146859</v>
      </c>
      <c r="Y111" s="12">
        <f>IF($U111=TRUE, $Q111*$C$10, $M111)</f>
        <v>34552131.936858743</v>
      </c>
      <c r="Z111" s="12">
        <f>IF($U111=TRUE, $Q111*$C$11, $N111)</f>
        <v>17276065.968429372</v>
      </c>
      <c r="AA111" s="12">
        <f>IF($U111=TRUE, $Q111*$C$12, $O111)</f>
        <v>17276065.968429372</v>
      </c>
      <c r="AB111" s="12">
        <f>IF($U111=TRUE, $Q111*$C$13, $P111)</f>
        <v>17276065.968429372</v>
      </c>
      <c r="AC111" s="12">
        <f>V111-(1-$B$3)</f>
        <v>51828196.908829778</v>
      </c>
      <c r="AD111" s="12">
        <f t="shared" si="22"/>
        <v>25822319.852186777</v>
      </c>
      <c r="AE111" s="12">
        <f t="shared" si="23"/>
        <v>8607439.9507289249</v>
      </c>
      <c r="AF111" s="12">
        <f t="shared" si="24"/>
        <v>34429759.8029157</v>
      </c>
      <c r="AG111" s="12">
        <f t="shared" si="25"/>
        <v>17214879.90145785</v>
      </c>
      <c r="AH111" s="12">
        <f t="shared" si="26"/>
        <v>17214879.90145785</v>
      </c>
      <c r="AI111" s="12">
        <f t="shared" si="27"/>
        <v>17214879.90145785</v>
      </c>
      <c r="AJ111" s="12">
        <f t="shared" si="28"/>
        <v>172332356.2190347</v>
      </c>
      <c r="AK111" s="12" t="b">
        <f t="shared" si="29"/>
        <v>1</v>
      </c>
    </row>
    <row r="112" spans="1:37" x14ac:dyDescent="0.2">
      <c r="A112" s="1">
        <f>Returns!A99</f>
        <v>45382</v>
      </c>
      <c r="B112" s="20">
        <f t="shared" si="30"/>
        <v>172148799.01457852</v>
      </c>
      <c r="C112" s="18">
        <f t="shared" si="31"/>
        <v>0.494242337726152</v>
      </c>
      <c r="D112" s="18">
        <f t="shared" si="34"/>
        <v>0.14152982617595941</v>
      </c>
      <c r="E112" s="18">
        <f t="shared" si="34"/>
        <v>3.99709152537953E-2</v>
      </c>
      <c r="F112" s="18">
        <f t="shared" si="34"/>
        <v>0.10598213844457387</v>
      </c>
      <c r="G112" s="18">
        <f t="shared" si="33"/>
        <v>6.062445716180874E-2</v>
      </c>
      <c r="H112" s="18">
        <f t="shared" si="32"/>
        <v>7.4753514401288079E-2</v>
      </c>
      <c r="I112" s="18">
        <f t="shared" si="32"/>
        <v>8.289681083642253E-2</v>
      </c>
      <c r="J112" s="12">
        <f>J111*(1+Returns!B99)</f>
        <v>87735688.805843338</v>
      </c>
      <c r="K112" s="12">
        <f>K111*(1+Returns!C99)</f>
        <v>25123741.610738259</v>
      </c>
      <c r="L112" s="12">
        <f>L111*(1+Returns!D99)</f>
        <v>7095458.0664329855</v>
      </c>
      <c r="M112" s="12">
        <f>M111*(1+Returns!E99)</f>
        <v>18813475.106826991</v>
      </c>
      <c r="N112" s="12">
        <f>N111*(1+Returns!F99)</f>
        <v>10761782.432565955</v>
      </c>
      <c r="O112" s="12">
        <f>O111*(1+Returns!G99)</f>
        <v>13269909.46754642</v>
      </c>
      <c r="P112" s="12">
        <f>P111*(1+Returns!H99)</f>
        <v>14715471.02177036</v>
      </c>
      <c r="Q112" s="12">
        <f t="shared" si="18"/>
        <v>177515526.51172432</v>
      </c>
      <c r="R112" s="12">
        <f t="shared" si="19"/>
        <v>628700.82306235703</v>
      </c>
      <c r="S112" s="12">
        <f t="shared" si="20"/>
        <v>176886825.68866196</v>
      </c>
      <c r="T112" s="12"/>
      <c r="U112" t="b">
        <f t="shared" si="21"/>
        <v>1</v>
      </c>
      <c r="V112" s="12">
        <f>IF($U112=TRUE, $Q112*$C$7, $J112)</f>
        <v>53254657.953517295</v>
      </c>
      <c r="W112" s="12">
        <f>IF($U112=TRUE, $Q112*$C$8, $K112)</f>
        <v>26627328.976758648</v>
      </c>
      <c r="X112" s="12">
        <f>IF($U112=TRUE, $Q112*$C$9, $L112)</f>
        <v>8875776.3255862165</v>
      </c>
      <c r="Y112" s="12">
        <f>IF($U112=TRUE, $Q112*$C$10, $M112)</f>
        <v>35503105.302344866</v>
      </c>
      <c r="Z112" s="12">
        <f>IF($U112=TRUE, $Q112*$C$11, $N112)</f>
        <v>17751552.651172433</v>
      </c>
      <c r="AA112" s="12">
        <f>IF($U112=TRUE, $Q112*$C$12, $O112)</f>
        <v>17751552.651172433</v>
      </c>
      <c r="AB112" s="12">
        <f>IF($U112=TRUE, $Q112*$C$13, $P112)</f>
        <v>17751552.651172433</v>
      </c>
      <c r="AC112" s="12">
        <f>V112-(1-$B$3)</f>
        <v>53254656.957058959</v>
      </c>
      <c r="AD112" s="12">
        <f t="shared" si="22"/>
        <v>26533023.853299294</v>
      </c>
      <c r="AE112" s="12">
        <f t="shared" si="23"/>
        <v>8844341.2844330985</v>
      </c>
      <c r="AF112" s="12">
        <f t="shared" si="24"/>
        <v>35377365.137732394</v>
      </c>
      <c r="AG112" s="12">
        <f t="shared" si="25"/>
        <v>17688682.568866197</v>
      </c>
      <c r="AH112" s="12">
        <f t="shared" si="26"/>
        <v>17688682.568866197</v>
      </c>
      <c r="AI112" s="12">
        <f t="shared" si="27"/>
        <v>17688682.568866197</v>
      </c>
      <c r="AJ112" s="12">
        <f t="shared" si="28"/>
        <v>177075434.93912232</v>
      </c>
      <c r="AK112" s="12" t="b">
        <f t="shared" si="29"/>
        <v>1</v>
      </c>
    </row>
    <row r="113" spans="1:37" x14ac:dyDescent="0.2">
      <c r="A113" s="1">
        <f>Returns!A100</f>
        <v>45412</v>
      </c>
      <c r="B113" s="20">
        <f t="shared" si="30"/>
        <v>176886825.68866196</v>
      </c>
      <c r="C113" s="18">
        <f t="shared" si="31"/>
        <v>0.49247835882680396</v>
      </c>
      <c r="D113" s="18">
        <f t="shared" si="34"/>
        <v>0.14218522738568889</v>
      </c>
      <c r="E113" s="18">
        <f t="shared" si="34"/>
        <v>4.1411173732921254E-2</v>
      </c>
      <c r="F113" s="18">
        <f t="shared" si="34"/>
        <v>0.10628691335611405</v>
      </c>
      <c r="G113" s="18">
        <f t="shared" si="33"/>
        <v>6.0675457989541381E-2</v>
      </c>
      <c r="H113" s="18">
        <f t="shared" si="32"/>
        <v>7.1451023662892257E-2</v>
      </c>
      <c r="I113" s="18">
        <f t="shared" si="32"/>
        <v>8.5511845046038135E-2</v>
      </c>
      <c r="J113" s="12">
        <f>J112*(1+Returns!B100)</f>
        <v>84197384.066587359</v>
      </c>
      <c r="K113" s="12">
        <f>K112*(1+Returns!C100)</f>
        <v>24308934.563758392</v>
      </c>
      <c r="L113" s="12">
        <f>L112*(1+Returns!D100)</f>
        <v>7079930.390738572</v>
      </c>
      <c r="M113" s="12">
        <f>M112*(1+Returns!E100)</f>
        <v>18171519.427606083</v>
      </c>
      <c r="N113" s="12">
        <f>N112*(1+Returns!F100)</f>
        <v>10373480.88133584</v>
      </c>
      <c r="O113" s="12">
        <f>O112*(1+Returns!G100)</f>
        <v>12215743.440233238</v>
      </c>
      <c r="P113" s="12">
        <f>P112*(1+Returns!H100)</f>
        <v>14619675.221334646</v>
      </c>
      <c r="Q113" s="12">
        <f t="shared" si="18"/>
        <v>170966667.99159414</v>
      </c>
      <c r="R113" s="12">
        <f t="shared" si="19"/>
        <v>605506.94913689594</v>
      </c>
      <c r="S113" s="12">
        <f t="shared" si="20"/>
        <v>170361161.04245725</v>
      </c>
      <c r="T113" s="12"/>
      <c r="U113" t="b">
        <f t="shared" si="21"/>
        <v>1</v>
      </c>
      <c r="V113" s="12">
        <f>IF($U113=TRUE, $Q113*$C$7, $J113)</f>
        <v>51290000.397478238</v>
      </c>
      <c r="W113" s="12">
        <f>IF($U113=TRUE, $Q113*$C$8, $K113)</f>
        <v>25645000.198739119</v>
      </c>
      <c r="X113" s="12">
        <f>IF($U113=TRUE, $Q113*$C$9, $L113)</f>
        <v>8548333.3995797075</v>
      </c>
      <c r="Y113" s="12">
        <f>IF($U113=TRUE, $Q113*$C$10, $M113)</f>
        <v>34193333.59831883</v>
      </c>
      <c r="Z113" s="12">
        <f>IF($U113=TRUE, $Q113*$C$11, $N113)</f>
        <v>17096666.799159415</v>
      </c>
      <c r="AA113" s="12">
        <f>IF($U113=TRUE, $Q113*$C$12, $O113)</f>
        <v>17096666.799159415</v>
      </c>
      <c r="AB113" s="12">
        <f>IF($U113=TRUE, $Q113*$C$13, $P113)</f>
        <v>17096666.799159415</v>
      </c>
      <c r="AC113" s="12">
        <f>V113-(1-$B$3)</f>
        <v>51289999.401019901</v>
      </c>
      <c r="AD113" s="12">
        <f t="shared" si="22"/>
        <v>25554174.156368583</v>
      </c>
      <c r="AE113" s="12">
        <f t="shared" si="23"/>
        <v>8518058.052122863</v>
      </c>
      <c r="AF113" s="12">
        <f t="shared" si="24"/>
        <v>34072232.208491452</v>
      </c>
      <c r="AG113" s="12">
        <f t="shared" si="25"/>
        <v>17036116.104245726</v>
      </c>
      <c r="AH113" s="12">
        <f t="shared" si="26"/>
        <v>17036116.104245726</v>
      </c>
      <c r="AI113" s="12">
        <f t="shared" si="27"/>
        <v>17036116.104245726</v>
      </c>
      <c r="AJ113" s="12">
        <f t="shared" si="28"/>
        <v>170542812.13073996</v>
      </c>
      <c r="AK113" s="12" t="b">
        <f t="shared" si="29"/>
        <v>1</v>
      </c>
    </row>
    <row r="114" spans="1:37" x14ac:dyDescent="0.2">
      <c r="A114" s="1">
        <f>Returns!A101</f>
        <v>45443</v>
      </c>
      <c r="B114" s="20">
        <f t="shared" si="30"/>
        <v>170361161.04245725</v>
      </c>
      <c r="C114" s="18">
        <f t="shared" si="31"/>
        <v>0.49818935885135185</v>
      </c>
      <c r="D114" s="18">
        <f t="shared" si="34"/>
        <v>0.13983298638375544</v>
      </c>
      <c r="E114" s="18">
        <f t="shared" si="34"/>
        <v>4.0652828543551713E-2</v>
      </c>
      <c r="F114" s="18">
        <f t="shared" si="34"/>
        <v>0.10387667580778484</v>
      </c>
      <c r="G114" s="18">
        <f t="shared" si="33"/>
        <v>5.9375672088288825E-2</v>
      </c>
      <c r="H114" s="18">
        <f t="shared" si="32"/>
        <v>7.03208544320712E-2</v>
      </c>
      <c r="I114" s="18">
        <f t="shared" si="32"/>
        <v>8.7751623893196032E-2</v>
      </c>
      <c r="J114" s="12">
        <f>J113*(1+Returns!B101)</f>
        <v>88455919.823339522</v>
      </c>
      <c r="K114" s="12">
        <f>K113*(1+Returns!C101)</f>
        <v>24828020.134228192</v>
      </c>
      <c r="L114" s="12">
        <f>L113*(1+Returns!D101)</f>
        <v>7218105.4820830422</v>
      </c>
      <c r="M114" s="12">
        <f>M113*(1+Returns!E101)</f>
        <v>18443804.034582131</v>
      </c>
      <c r="N114" s="12">
        <f>N113*(1+Returns!F101)</f>
        <v>10542436.518130625</v>
      </c>
      <c r="O114" s="12">
        <f>O113*(1+Returns!G101)</f>
        <v>12485806.352616237</v>
      </c>
      <c r="P114" s="12">
        <f>P113*(1+Returns!H101)</f>
        <v>15580723.412802638</v>
      </c>
      <c r="Q114" s="12">
        <f t="shared" si="18"/>
        <v>177554815.7577824</v>
      </c>
      <c r="R114" s="12">
        <f t="shared" si="19"/>
        <v>628839.97247547936</v>
      </c>
      <c r="S114" s="12">
        <f t="shared" si="20"/>
        <v>176925975.78530693</v>
      </c>
      <c r="T114" s="12"/>
      <c r="U114" t="b">
        <f t="shared" si="21"/>
        <v>1</v>
      </c>
      <c r="V114" s="12">
        <f>IF($U114=TRUE, $Q114*$C$7, $J114)</f>
        <v>53266444.727334715</v>
      </c>
      <c r="W114" s="12">
        <f>IF($U114=TRUE, $Q114*$C$8, $K114)</f>
        <v>26633222.363667358</v>
      </c>
      <c r="X114" s="12">
        <f>IF($U114=TRUE, $Q114*$C$9, $L114)</f>
        <v>8877740.7878891211</v>
      </c>
      <c r="Y114" s="12">
        <f>IF($U114=TRUE, $Q114*$C$10, $M114)</f>
        <v>35510963.151556484</v>
      </c>
      <c r="Z114" s="12">
        <f>IF($U114=TRUE, $Q114*$C$11, $N114)</f>
        <v>17755481.575778242</v>
      </c>
      <c r="AA114" s="12">
        <f>IF($U114=TRUE, $Q114*$C$12, $O114)</f>
        <v>17755481.575778242</v>
      </c>
      <c r="AB114" s="12">
        <f>IF($U114=TRUE, $Q114*$C$13, $P114)</f>
        <v>17755481.575778242</v>
      </c>
      <c r="AC114" s="12">
        <f>V114-(1-$B$3)</f>
        <v>53266443.730876379</v>
      </c>
      <c r="AD114" s="12">
        <f t="shared" si="22"/>
        <v>26538896.367796037</v>
      </c>
      <c r="AE114" s="12">
        <f t="shared" si="23"/>
        <v>8846298.7892653476</v>
      </c>
      <c r="AF114" s="12">
        <f t="shared" si="24"/>
        <v>35385195.157061391</v>
      </c>
      <c r="AG114" s="12">
        <f t="shared" si="25"/>
        <v>17692597.578530695</v>
      </c>
      <c r="AH114" s="12">
        <f t="shared" si="26"/>
        <v>17692597.578530695</v>
      </c>
      <c r="AI114" s="12">
        <f t="shared" si="27"/>
        <v>17692597.578530695</v>
      </c>
      <c r="AJ114" s="12">
        <f t="shared" si="28"/>
        <v>177114626.78059125</v>
      </c>
      <c r="AK114" s="12" t="b">
        <f t="shared" si="29"/>
        <v>1</v>
      </c>
    </row>
    <row r="115" spans="1:37" x14ac:dyDescent="0.2">
      <c r="A115" s="1">
        <f>Returns!A102</f>
        <v>45473</v>
      </c>
      <c r="B115" s="20">
        <f t="shared" si="30"/>
        <v>176925975.78530693</v>
      </c>
      <c r="C115" s="18">
        <f t="shared" si="31"/>
        <v>0.50740006569341156</v>
      </c>
      <c r="D115" s="18">
        <f t="shared" si="34"/>
        <v>0.13653445164299777</v>
      </c>
      <c r="E115" s="18">
        <f t="shared" si="34"/>
        <v>4.1039747653645549E-2</v>
      </c>
      <c r="F115" s="18">
        <f t="shared" si="34"/>
        <v>0.10312629524658358</v>
      </c>
      <c r="G115" s="18">
        <f t="shared" si="33"/>
        <v>5.8641659338549028E-2</v>
      </c>
      <c r="H115" s="18">
        <f t="shared" si="32"/>
        <v>7.1211159825372086E-2</v>
      </c>
      <c r="I115" s="18">
        <f t="shared" si="32"/>
        <v>8.204662059944047E-2</v>
      </c>
      <c r="J115" s="12">
        <f>J114*(1+Returns!B102)</f>
        <v>91578053.337863043</v>
      </c>
      <c r="K115" s="12">
        <f>K114*(1+Returns!C102)</f>
        <v>24642407.71812081</v>
      </c>
      <c r="L115" s="12">
        <f>L114*(1+Returns!D102)</f>
        <v>7407055.0118314512</v>
      </c>
      <c r="M115" s="12">
        <f>M114*(1+Returns!E102)</f>
        <v>18612739.739640266</v>
      </c>
      <c r="N115" s="12">
        <f>N114*(1+Returns!F102)</f>
        <v>10583934.393834606</v>
      </c>
      <c r="O115" s="12">
        <f>O114*(1+Returns!G102)</f>
        <v>12852539.512045423</v>
      </c>
      <c r="P115" s="12">
        <f>P114*(1+Returns!H102)</f>
        <v>14808176.63509525</v>
      </c>
      <c r="Q115" s="12">
        <f t="shared" si="18"/>
        <v>180484906.34843084</v>
      </c>
      <c r="R115" s="12">
        <f t="shared" si="19"/>
        <v>639217.37665069266</v>
      </c>
      <c r="S115" s="12">
        <f t="shared" si="20"/>
        <v>179845688.97178015</v>
      </c>
      <c r="T115" s="12"/>
      <c r="U115" t="b">
        <f t="shared" si="21"/>
        <v>1</v>
      </c>
      <c r="V115" s="12">
        <f>IF($U115=TRUE, $Q115*$C$7, $J115)</f>
        <v>54145471.904529251</v>
      </c>
      <c r="W115" s="12">
        <f>IF($U115=TRUE, $Q115*$C$8, $K115)</f>
        <v>27072735.952264626</v>
      </c>
      <c r="X115" s="12">
        <f>IF($U115=TRUE, $Q115*$C$9, $L115)</f>
        <v>9024245.3174215425</v>
      </c>
      <c r="Y115" s="12">
        <f>IF($U115=TRUE, $Q115*$C$10, $M115)</f>
        <v>36096981.26968617</v>
      </c>
      <c r="Z115" s="12">
        <f>IF($U115=TRUE, $Q115*$C$11, $N115)</f>
        <v>18048490.634843085</v>
      </c>
      <c r="AA115" s="12">
        <f>IF($U115=TRUE, $Q115*$C$12, $O115)</f>
        <v>18048490.634843085</v>
      </c>
      <c r="AB115" s="12">
        <f>IF($U115=TRUE, $Q115*$C$13, $P115)</f>
        <v>18048490.634843085</v>
      </c>
      <c r="AC115" s="12">
        <f>V115-(1-$B$3)</f>
        <v>54145470.908070914</v>
      </c>
      <c r="AD115" s="12">
        <f t="shared" si="22"/>
        <v>26976853.345767021</v>
      </c>
      <c r="AE115" s="12">
        <f t="shared" si="23"/>
        <v>8992284.4485890083</v>
      </c>
      <c r="AF115" s="12">
        <f t="shared" si="24"/>
        <v>35969137.794356033</v>
      </c>
      <c r="AG115" s="12">
        <f t="shared" si="25"/>
        <v>17984568.897178017</v>
      </c>
      <c r="AH115" s="12">
        <f t="shared" si="26"/>
        <v>17984568.897178017</v>
      </c>
      <c r="AI115" s="12">
        <f t="shared" si="27"/>
        <v>17984568.897178017</v>
      </c>
      <c r="AJ115" s="12">
        <f t="shared" si="28"/>
        <v>180037453.18831706</v>
      </c>
      <c r="AK115" s="12" t="b">
        <f t="shared" si="29"/>
        <v>1</v>
      </c>
    </row>
    <row r="116" spans="1:37" x14ac:dyDescent="0.2">
      <c r="A116" s="1">
        <f>Returns!A103</f>
        <v>45504</v>
      </c>
      <c r="B116" s="20">
        <f t="shared" si="30"/>
        <v>179845688.97178015</v>
      </c>
      <c r="C116" s="18">
        <f t="shared" si="31"/>
        <v>0.50181546797784293</v>
      </c>
      <c r="D116" s="18">
        <f t="shared" si="34"/>
        <v>0.13687584706522971</v>
      </c>
      <c r="E116" s="18">
        <f t="shared" si="34"/>
        <v>4.0442013163034321E-2</v>
      </c>
      <c r="F116" s="18">
        <f t="shared" si="34"/>
        <v>0.10337658780575018</v>
      </c>
      <c r="G116" s="18">
        <f t="shared" si="33"/>
        <v>5.8608482698404074E-2</v>
      </c>
      <c r="H116" s="18">
        <f t="shared" si="32"/>
        <v>7.5110495619874568E-2</v>
      </c>
      <c r="I116" s="18">
        <f t="shared" si="32"/>
        <v>8.3771105669864065E-2</v>
      </c>
      <c r="J116" s="12">
        <f>J115*(1+Returns!B103)</f>
        <v>92685578.393069416</v>
      </c>
      <c r="K116" s="12">
        <f>K115*(1+Returns!C103)</f>
        <v>25281040.268456381</v>
      </c>
      <c r="L116" s="12">
        <f>L115*(1+Returns!D103)</f>
        <v>7469660.9024444595</v>
      </c>
      <c r="M116" s="12">
        <f>M115*(1+Returns!E103)</f>
        <v>19093709.629335187</v>
      </c>
      <c r="N116" s="12">
        <f>N115*(1+Returns!F103)</f>
        <v>10825017.290781548</v>
      </c>
      <c r="O116" s="12">
        <f>O115*(1+Returns!G103)</f>
        <v>13872947.675310729</v>
      </c>
      <c r="P116" s="12">
        <f>P115*(1+Returns!H103)</f>
        <v>15472566.863923604</v>
      </c>
      <c r="Q116" s="12">
        <f t="shared" si="18"/>
        <v>184700521.02332136</v>
      </c>
      <c r="R116" s="12">
        <f t="shared" si="19"/>
        <v>654147.67862426315</v>
      </c>
      <c r="S116" s="12">
        <f t="shared" si="20"/>
        <v>184046373.34469709</v>
      </c>
      <c r="T116" s="12"/>
      <c r="U116" t="b">
        <f t="shared" si="21"/>
        <v>1</v>
      </c>
      <c r="V116" s="12">
        <f>IF($U116=TRUE, $Q116*$C$7, $J116)</f>
        <v>55410156.306996405</v>
      </c>
      <c r="W116" s="12">
        <f>IF($U116=TRUE, $Q116*$C$8, $K116)</f>
        <v>27705078.153498203</v>
      </c>
      <c r="X116" s="12">
        <f>IF($U116=TRUE, $Q116*$C$9, $L116)</f>
        <v>9235026.0511660688</v>
      </c>
      <c r="Y116" s="12">
        <f>IF($U116=TRUE, $Q116*$C$10, $M116)</f>
        <v>36940104.204664275</v>
      </c>
      <c r="Z116" s="12">
        <f>IF($U116=TRUE, $Q116*$C$11, $N116)</f>
        <v>18470052.102332138</v>
      </c>
      <c r="AA116" s="12">
        <f>IF($U116=TRUE, $Q116*$C$12, $O116)</f>
        <v>18470052.102332138</v>
      </c>
      <c r="AB116" s="12">
        <f>IF($U116=TRUE, $Q116*$C$13, $P116)</f>
        <v>18470052.102332138</v>
      </c>
      <c r="AC116" s="12">
        <f>V116-(1-$B$3)</f>
        <v>55410155.310538068</v>
      </c>
      <c r="AD116" s="12">
        <f t="shared" si="22"/>
        <v>27606956.001704562</v>
      </c>
      <c r="AE116" s="12">
        <f t="shared" si="23"/>
        <v>9202318.6672348548</v>
      </c>
      <c r="AF116" s="12">
        <f t="shared" si="24"/>
        <v>36809274.668939419</v>
      </c>
      <c r="AG116" s="12">
        <f t="shared" si="25"/>
        <v>18404637.33446971</v>
      </c>
      <c r="AH116" s="12">
        <f t="shared" si="26"/>
        <v>18404637.33446971</v>
      </c>
      <c r="AI116" s="12">
        <f t="shared" si="27"/>
        <v>18404637.33446971</v>
      </c>
      <c r="AJ116" s="12">
        <f t="shared" si="28"/>
        <v>184242616.65182602</v>
      </c>
      <c r="AK116" s="12" t="b">
        <f t="shared" si="29"/>
        <v>1</v>
      </c>
    </row>
    <row r="117" spans="1:37" x14ac:dyDescent="0.2">
      <c r="A117" s="1">
        <f>Returns!A104</f>
        <v>45535</v>
      </c>
      <c r="B117" s="20">
        <f t="shared" si="30"/>
        <v>184046373.34469709</v>
      </c>
      <c r="C117" s="18">
        <f t="shared" si="31"/>
        <v>0.5004081352331835</v>
      </c>
      <c r="D117" s="18">
        <f t="shared" si="34"/>
        <v>0.13772386692453623</v>
      </c>
      <c r="E117" s="18">
        <f t="shared" si="34"/>
        <v>3.9793089955706629E-2</v>
      </c>
      <c r="F117" s="18">
        <f t="shared" si="34"/>
        <v>0.1017813759895051</v>
      </c>
      <c r="G117" s="18">
        <f t="shared" si="33"/>
        <v>5.7969717122227468E-2</v>
      </c>
      <c r="H117" s="18">
        <f t="shared" si="32"/>
        <v>7.7010606017619596E-2</v>
      </c>
      <c r="I117" s="18">
        <f t="shared" si="32"/>
        <v>8.5313208757221676E-2</v>
      </c>
      <c r="J117" s="12">
        <f>J116*(1+Returns!B104)</f>
        <v>94851367.419738337</v>
      </c>
      <c r="K117" s="12">
        <f>K116*(1+Returns!C104)</f>
        <v>26105285.234899335</v>
      </c>
      <c r="L117" s="12">
        <f>L116*(1+Returns!D104)</f>
        <v>7542701.1081596334</v>
      </c>
      <c r="M117" s="12">
        <f>M116*(1+Returns!E104)</f>
        <v>19292457.517638873</v>
      </c>
      <c r="N117" s="12">
        <f>N116*(1+Returns!F104)</f>
        <v>10988044.65961862</v>
      </c>
      <c r="O117" s="12">
        <f>O116*(1+Returns!G104)</f>
        <v>14597207.303974226</v>
      </c>
      <c r="P117" s="12">
        <f>P116*(1+Returns!H104)</f>
        <v>16170949.150971083</v>
      </c>
      <c r="Q117" s="12">
        <f t="shared" si="18"/>
        <v>189548012.39500007</v>
      </c>
      <c r="R117" s="12">
        <f t="shared" si="19"/>
        <v>671315.87723229197</v>
      </c>
      <c r="S117" s="12">
        <f t="shared" si="20"/>
        <v>188876696.51776779</v>
      </c>
      <c r="T117" s="12"/>
      <c r="U117" t="b">
        <f t="shared" si="21"/>
        <v>1</v>
      </c>
      <c r="V117" s="12">
        <f>IF($U117=TRUE, $Q117*$C$7, $J117)</f>
        <v>56864403.718500018</v>
      </c>
      <c r="W117" s="12">
        <f>IF($U117=TRUE, $Q117*$C$8, $K117)</f>
        <v>28432201.859250009</v>
      </c>
      <c r="X117" s="12">
        <f>IF($U117=TRUE, $Q117*$C$9, $L117)</f>
        <v>9477400.6197500043</v>
      </c>
      <c r="Y117" s="12">
        <f>IF($U117=TRUE, $Q117*$C$10, $M117)</f>
        <v>37909602.479000017</v>
      </c>
      <c r="Z117" s="12">
        <f>IF($U117=TRUE, $Q117*$C$11, $N117)</f>
        <v>18954801.239500009</v>
      </c>
      <c r="AA117" s="12">
        <f>IF($U117=TRUE, $Q117*$C$12, $O117)</f>
        <v>18954801.239500009</v>
      </c>
      <c r="AB117" s="12">
        <f>IF($U117=TRUE, $Q117*$C$13, $P117)</f>
        <v>18954801.239500009</v>
      </c>
      <c r="AC117" s="12">
        <f>V117-(1-$B$3)</f>
        <v>56864402.722041681</v>
      </c>
      <c r="AD117" s="12">
        <f t="shared" si="22"/>
        <v>28331504.477665164</v>
      </c>
      <c r="AE117" s="12">
        <f t="shared" si="23"/>
        <v>9443834.8258883897</v>
      </c>
      <c r="AF117" s="12">
        <f t="shared" si="24"/>
        <v>37775339.303553559</v>
      </c>
      <c r="AG117" s="12">
        <f t="shared" si="25"/>
        <v>18887669.651776779</v>
      </c>
      <c r="AH117" s="12">
        <f t="shared" si="26"/>
        <v>18887669.651776779</v>
      </c>
      <c r="AI117" s="12">
        <f t="shared" si="27"/>
        <v>18887669.651776779</v>
      </c>
      <c r="AJ117" s="12">
        <f t="shared" si="28"/>
        <v>189078090.28447917</v>
      </c>
      <c r="AK117" s="12" t="b">
        <f t="shared" si="29"/>
        <v>1</v>
      </c>
    </row>
    <row r="118" spans="1:37" x14ac:dyDescent="0.2">
      <c r="A118" s="1">
        <f>Returns!A105</f>
        <v>45565</v>
      </c>
      <c r="B118" s="20">
        <f t="shared" si="30"/>
        <v>188876696.51776779</v>
      </c>
      <c r="C118" s="18">
        <f t="shared" si="31"/>
        <v>0.50032501523513273</v>
      </c>
      <c r="D118" s="18">
        <f t="shared" si="34"/>
        <v>0.1359242939367058</v>
      </c>
      <c r="E118" s="18">
        <f t="shared" si="34"/>
        <v>4.1205114086773541E-2</v>
      </c>
      <c r="F118" s="18">
        <f t="shared" si="34"/>
        <v>0.1007488364394984</v>
      </c>
      <c r="G118" s="18">
        <f t="shared" si="33"/>
        <v>5.7671085004156707E-2</v>
      </c>
      <c r="H118" s="18">
        <f t="shared" si="32"/>
        <v>7.7228994566199125E-2</v>
      </c>
      <c r="I118" s="18">
        <f t="shared" si="32"/>
        <v>8.6896660731533695E-2</v>
      </c>
      <c r="J118" s="12">
        <f>J117*(1+Returns!B105)</f>
        <v>96843893.324273765</v>
      </c>
      <c r="K118" s="12">
        <f>K117*(1+Returns!C105)</f>
        <v>26309773.489932891</v>
      </c>
      <c r="L118" s="12">
        <f>L117*(1+Returns!D105)</f>
        <v>7975742.8701794343</v>
      </c>
      <c r="M118" s="12">
        <f>M117*(1+Returns!E105)</f>
        <v>19501142.800357744</v>
      </c>
      <c r="N118" s="12">
        <f>N117*(1+Returns!F105)</f>
        <v>11162928.564371115</v>
      </c>
      <c r="O118" s="12">
        <f>O117*(1+Returns!G105)</f>
        <v>14948595.979745287</v>
      </c>
      <c r="P118" s="12">
        <f>P117*(1+Returns!H105)</f>
        <v>16819888.44424529</v>
      </c>
      <c r="Q118" s="12">
        <f t="shared" si="18"/>
        <v>193561965.47310552</v>
      </c>
      <c r="R118" s="12">
        <f t="shared" si="19"/>
        <v>685531.96105058212</v>
      </c>
      <c r="S118" s="12">
        <f t="shared" si="20"/>
        <v>192876433.51205495</v>
      </c>
      <c r="T118" s="12"/>
      <c r="U118" t="b">
        <f t="shared" si="21"/>
        <v>1</v>
      </c>
      <c r="V118" s="12">
        <f>IF($U118=TRUE, $Q118*$C$7, $J118)</f>
        <v>58068589.641931653</v>
      </c>
      <c r="W118" s="12">
        <f>IF($U118=TRUE, $Q118*$C$8, $K118)</f>
        <v>29034294.820965827</v>
      </c>
      <c r="X118" s="12">
        <f>IF($U118=TRUE, $Q118*$C$9, $L118)</f>
        <v>9678098.2736552767</v>
      </c>
      <c r="Y118" s="12">
        <f>IF($U118=TRUE, $Q118*$C$10, $M118)</f>
        <v>38712393.094621107</v>
      </c>
      <c r="Z118" s="12">
        <f>IF($U118=TRUE, $Q118*$C$11, $N118)</f>
        <v>19356196.547310553</v>
      </c>
      <c r="AA118" s="12">
        <f>IF($U118=TRUE, $Q118*$C$12, $O118)</f>
        <v>19356196.547310553</v>
      </c>
      <c r="AB118" s="12">
        <f>IF($U118=TRUE, $Q118*$C$13, $P118)</f>
        <v>19356196.547310553</v>
      </c>
      <c r="AC118" s="12">
        <f>V118-(1-$B$3)</f>
        <v>58068588.645473316</v>
      </c>
      <c r="AD118" s="12">
        <f t="shared" si="22"/>
        <v>28931465.02680824</v>
      </c>
      <c r="AE118" s="12">
        <f t="shared" si="23"/>
        <v>9643821.6756027471</v>
      </c>
      <c r="AF118" s="12">
        <f t="shared" si="24"/>
        <v>38575286.702410989</v>
      </c>
      <c r="AG118" s="12">
        <f t="shared" si="25"/>
        <v>19287643.351205494</v>
      </c>
      <c r="AH118" s="12">
        <f t="shared" si="26"/>
        <v>19287643.351205494</v>
      </c>
      <c r="AI118" s="12">
        <f t="shared" si="27"/>
        <v>19287643.351205494</v>
      </c>
      <c r="AJ118" s="12">
        <f t="shared" si="28"/>
        <v>193082092.10391179</v>
      </c>
      <c r="AK118" s="12" t="b">
        <f t="shared" si="29"/>
        <v>1</v>
      </c>
    </row>
    <row r="119" spans="1:37" x14ac:dyDescent="0.2">
      <c r="A119" s="1">
        <f>Returns!A106</f>
        <v>45596</v>
      </c>
      <c r="B119" s="20">
        <f t="shared" si="30"/>
        <v>192876433.51205495</v>
      </c>
      <c r="C119" s="18">
        <f t="shared" si="31"/>
        <v>0.50719094357642402</v>
      </c>
      <c r="D119" s="18">
        <f t="shared" si="34"/>
        <v>0.13169942210070668</v>
      </c>
      <c r="E119" s="18">
        <f t="shared" si="34"/>
        <v>4.0851090281130854E-2</v>
      </c>
      <c r="F119" s="18">
        <f t="shared" si="34"/>
        <v>9.9270510400883596E-2</v>
      </c>
      <c r="G119" s="18">
        <f t="shared" si="33"/>
        <v>5.6905893481732035E-2</v>
      </c>
      <c r="H119" s="18">
        <f t="shared" si="32"/>
        <v>7.6342542976526331E-2</v>
      </c>
      <c r="I119" s="18">
        <f t="shared" si="32"/>
        <v>8.7739597182596482E-2</v>
      </c>
      <c r="J119" s="12">
        <f>J118*(1+Returns!B106)</f>
        <v>95979276.371666327</v>
      </c>
      <c r="K119" s="12">
        <f>K118*(1+Returns!C106)</f>
        <v>24922399.328859065</v>
      </c>
      <c r="L119" s="12">
        <f>L118*(1+Returns!D106)</f>
        <v>7730536.4652784895</v>
      </c>
      <c r="M119" s="12">
        <f>M118*(1+Returns!E106)</f>
        <v>18785650.402464468</v>
      </c>
      <c r="N119" s="12">
        <f>N118*(1+Returns!F106)</f>
        <v>10768698.745183287</v>
      </c>
      <c r="O119" s="12">
        <f>O118*(1+Returns!G106)</f>
        <v>14446831.364124604</v>
      </c>
      <c r="P119" s="12">
        <f>P118*(1+Returns!H106)</f>
        <v>16603575.34648722</v>
      </c>
      <c r="Q119" s="12">
        <f t="shared" si="18"/>
        <v>189236968.02406347</v>
      </c>
      <c r="R119" s="12">
        <f t="shared" si="19"/>
        <v>670214.26175189146</v>
      </c>
      <c r="S119" s="12">
        <f t="shared" si="20"/>
        <v>188566753.76231158</v>
      </c>
      <c r="T119" s="12"/>
      <c r="U119" t="b">
        <f t="shared" si="21"/>
        <v>1</v>
      </c>
      <c r="V119" s="12">
        <f>IF($U119=TRUE, $Q119*$C$7, $J119)</f>
        <v>56771090.407219037</v>
      </c>
      <c r="W119" s="12">
        <f>IF($U119=TRUE, $Q119*$C$8, $K119)</f>
        <v>28385545.203609519</v>
      </c>
      <c r="X119" s="12">
        <f>IF($U119=TRUE, $Q119*$C$9, $L119)</f>
        <v>9461848.4012031741</v>
      </c>
      <c r="Y119" s="12">
        <f>IF($U119=TRUE, $Q119*$C$10, $M119)</f>
        <v>37847393.604812697</v>
      </c>
      <c r="Z119" s="12">
        <f>IF($U119=TRUE, $Q119*$C$11, $N119)</f>
        <v>18923696.802406348</v>
      </c>
      <c r="AA119" s="12">
        <f>IF($U119=TRUE, $Q119*$C$12, $O119)</f>
        <v>18923696.802406348</v>
      </c>
      <c r="AB119" s="12">
        <f>IF($U119=TRUE, $Q119*$C$13, $P119)</f>
        <v>18923696.802406348</v>
      </c>
      <c r="AC119" s="12">
        <f>V119-(1-$B$3)</f>
        <v>56771089.410760701</v>
      </c>
      <c r="AD119" s="12">
        <f t="shared" si="22"/>
        <v>28285013.064346734</v>
      </c>
      <c r="AE119" s="12">
        <f t="shared" si="23"/>
        <v>9428337.68811558</v>
      </c>
      <c r="AF119" s="12">
        <f t="shared" si="24"/>
        <v>37713350.75246232</v>
      </c>
      <c r="AG119" s="12">
        <f t="shared" si="25"/>
        <v>18856675.37623116</v>
      </c>
      <c r="AH119" s="12">
        <f t="shared" si="26"/>
        <v>18856675.37623116</v>
      </c>
      <c r="AI119" s="12">
        <f t="shared" si="27"/>
        <v>18856675.37623116</v>
      </c>
      <c r="AJ119" s="12">
        <f t="shared" si="28"/>
        <v>188767817.04437882</v>
      </c>
      <c r="AK119" s="12" t="b">
        <f t="shared" si="29"/>
        <v>1</v>
      </c>
    </row>
    <row r="120" spans="1:37" x14ac:dyDescent="0.2">
      <c r="A120" s="1">
        <f>Returns!A107</f>
        <v>45626</v>
      </c>
      <c r="B120" s="20">
        <f t="shared" si="30"/>
        <v>188566753.76231158</v>
      </c>
      <c r="C120" s="18">
        <f t="shared" si="31"/>
        <v>0.51840157194457925</v>
      </c>
      <c r="D120" s="18">
        <f t="shared" si="34"/>
        <v>0.12663287776627211</v>
      </c>
      <c r="E120" s="18">
        <f t="shared" si="34"/>
        <v>3.8348911395078449E-2</v>
      </c>
      <c r="F120" s="18">
        <f t="shared" si="34"/>
        <v>9.6432444481848886E-2</v>
      </c>
      <c r="G120" s="18">
        <f t="shared" si="33"/>
        <v>5.5675566946359667E-2</v>
      </c>
      <c r="H120" s="18">
        <f t="shared" si="32"/>
        <v>7.6774351166555732E-2</v>
      </c>
      <c r="I120" s="18">
        <f t="shared" si="32"/>
        <v>8.7734276299305913E-2</v>
      </c>
      <c r="J120" s="12">
        <f>J119*(1+Returns!B107)</f>
        <v>101703754.03431284</v>
      </c>
      <c r="K120" s="12">
        <f>K119*(1+Returns!C107)</f>
        <v>24843750.000000004</v>
      </c>
      <c r="L120" s="12">
        <f>L119*(1+Returns!D107)</f>
        <v>7523565.6353790481</v>
      </c>
      <c r="M120" s="12">
        <f>M119*(1+Returns!E107)</f>
        <v>18918811.487627938</v>
      </c>
      <c r="N120" s="12">
        <f>N119*(1+Returns!F107)</f>
        <v>10922833.712083792</v>
      </c>
      <c r="O120" s="12">
        <f>O119*(1+Returns!G107)</f>
        <v>15062145.15881541</v>
      </c>
      <c r="P120" s="12">
        <f>P119*(1+Returns!H107)</f>
        <v>17212342.207320645</v>
      </c>
      <c r="Q120" s="12">
        <f t="shared" si="18"/>
        <v>196187202.23553967</v>
      </c>
      <c r="R120" s="12">
        <f t="shared" si="19"/>
        <v>694829.67458420305</v>
      </c>
      <c r="S120" s="12">
        <f t="shared" si="20"/>
        <v>195492372.56095546</v>
      </c>
      <c r="T120" s="12"/>
      <c r="U120" t="b">
        <f t="shared" si="21"/>
        <v>1</v>
      </c>
      <c r="V120" s="12">
        <f>IF($U120=TRUE, $Q120*$C$7, $J120)</f>
        <v>58856160.670661904</v>
      </c>
      <c r="W120" s="12">
        <f>IF($U120=TRUE, $Q120*$C$8, $K120)</f>
        <v>29428080.335330952</v>
      </c>
      <c r="X120" s="12">
        <f>IF($U120=TRUE, $Q120*$C$9, $L120)</f>
        <v>9809360.1117769834</v>
      </c>
      <c r="Y120" s="12">
        <f>IF($U120=TRUE, $Q120*$C$10, $M120)</f>
        <v>39237440.447107933</v>
      </c>
      <c r="Z120" s="12">
        <f>IF($U120=TRUE, $Q120*$C$11, $N120)</f>
        <v>19618720.223553967</v>
      </c>
      <c r="AA120" s="12">
        <f>IF($U120=TRUE, $Q120*$C$12, $O120)</f>
        <v>19618720.223553967</v>
      </c>
      <c r="AB120" s="12">
        <f>IF($U120=TRUE, $Q120*$C$13, $P120)</f>
        <v>19618720.223553967</v>
      </c>
      <c r="AC120" s="12">
        <f>V120-(1-$B$3)</f>
        <v>58856159.674203567</v>
      </c>
      <c r="AD120" s="12">
        <f t="shared" si="22"/>
        <v>29323855.884143323</v>
      </c>
      <c r="AE120" s="12">
        <f t="shared" si="23"/>
        <v>9774618.6280477736</v>
      </c>
      <c r="AF120" s="12">
        <f t="shared" si="24"/>
        <v>39098474.512191094</v>
      </c>
      <c r="AG120" s="12">
        <f t="shared" si="25"/>
        <v>19549237.256095547</v>
      </c>
      <c r="AH120" s="12">
        <f t="shared" si="26"/>
        <v>19549237.256095547</v>
      </c>
      <c r="AI120" s="12">
        <f t="shared" si="27"/>
        <v>19549237.256095547</v>
      </c>
      <c r="AJ120" s="12">
        <f t="shared" si="28"/>
        <v>195700820.46687245</v>
      </c>
      <c r="AK120" s="12" t="b">
        <f t="shared" si="29"/>
        <v>1</v>
      </c>
    </row>
    <row r="121" spans="1:37" x14ac:dyDescent="0.2">
      <c r="A121" s="1">
        <f>Returns!A108</f>
        <v>45657</v>
      </c>
      <c r="B121" s="20">
        <f t="shared" si="30"/>
        <v>195492372.56095546</v>
      </c>
      <c r="C121" s="18">
        <f t="shared" si="31"/>
        <v>0.52463526760246482</v>
      </c>
      <c r="D121" s="18">
        <f t="shared" si="34"/>
        <v>0.12572887122244583</v>
      </c>
      <c r="E121" s="18">
        <f t="shared" si="34"/>
        <v>3.9092795771801629E-2</v>
      </c>
      <c r="F121" s="18">
        <f t="shared" si="34"/>
        <v>9.712034234763707E-2</v>
      </c>
      <c r="G121" s="18">
        <f t="shared" si="33"/>
        <v>5.579704772839774E-2</v>
      </c>
      <c r="H121" s="18">
        <f t="shared" si="32"/>
        <v>7.2249235086488686E-2</v>
      </c>
      <c r="I121" s="18">
        <f t="shared" si="32"/>
        <v>8.5376440240764323E-2</v>
      </c>
      <c r="J121" s="12">
        <f>J120*(1+Returns!B108)</f>
        <v>99255987.769661918</v>
      </c>
      <c r="K121" s="12">
        <f>K120*(1+Returns!C108)</f>
        <v>23786703.020134233</v>
      </c>
      <c r="L121" s="12">
        <f>L120*(1+Returns!D108)</f>
        <v>7395984.026655253</v>
      </c>
      <c r="M121" s="12">
        <f>M120*(1+Returns!E108)</f>
        <v>18374242.273675837</v>
      </c>
      <c r="N121" s="12">
        <f>N120*(1+Returns!F108)</f>
        <v>10556269.143365286</v>
      </c>
      <c r="O121" s="12">
        <f>O120*(1+Returns!G108)</f>
        <v>13668866.042657668</v>
      </c>
      <c r="P121" s="12">
        <f>P120*(1+Returns!H108)</f>
        <v>16152408.028306108</v>
      </c>
      <c r="Q121" s="12">
        <f t="shared" si="18"/>
        <v>189190460.30445629</v>
      </c>
      <c r="R121" s="12">
        <f t="shared" si="19"/>
        <v>670049.54691161611</v>
      </c>
      <c r="S121" s="12">
        <f t="shared" si="20"/>
        <v>188520410.75754467</v>
      </c>
      <c r="T121" s="12"/>
      <c r="U121" t="b">
        <f t="shared" si="21"/>
        <v>1</v>
      </c>
      <c r="V121" s="12">
        <f>IF($U121=TRUE, $Q121*$C$7, $J121)</f>
        <v>56757138.091336884</v>
      </c>
      <c r="W121" s="12">
        <f>IF($U121=TRUE, $Q121*$C$8, $K121)</f>
        <v>28378569.045668442</v>
      </c>
      <c r="X121" s="12">
        <f>IF($U121=TRUE, $Q121*$C$9, $L121)</f>
        <v>9459523.0152228158</v>
      </c>
      <c r="Y121" s="12">
        <f>IF($U121=TRUE, $Q121*$C$10, $M121)</f>
        <v>37838092.060891263</v>
      </c>
      <c r="Z121" s="12">
        <f>IF($U121=TRUE, $Q121*$C$11, $N121)</f>
        <v>18919046.030445632</v>
      </c>
      <c r="AA121" s="12">
        <f>IF($U121=TRUE, $Q121*$C$12, $O121)</f>
        <v>18919046.030445632</v>
      </c>
      <c r="AB121" s="12">
        <f>IF($U121=TRUE, $Q121*$C$13, $P121)</f>
        <v>18919046.030445632</v>
      </c>
      <c r="AC121" s="12">
        <f>V121-(1-$B$3)</f>
        <v>56757137.094878547</v>
      </c>
      <c r="AD121" s="12">
        <f t="shared" si="22"/>
        <v>28278061.613631699</v>
      </c>
      <c r="AE121" s="12">
        <f t="shared" si="23"/>
        <v>9426020.5378772356</v>
      </c>
      <c r="AF121" s="12">
        <f t="shared" si="24"/>
        <v>37704082.151508942</v>
      </c>
      <c r="AG121" s="12">
        <f t="shared" si="25"/>
        <v>18852041.075754471</v>
      </c>
      <c r="AH121" s="12">
        <f t="shared" si="26"/>
        <v>18852041.075754471</v>
      </c>
      <c r="AI121" s="12">
        <f t="shared" si="27"/>
        <v>18852041.075754471</v>
      </c>
      <c r="AJ121" s="12">
        <f t="shared" si="28"/>
        <v>188721424.62515983</v>
      </c>
      <c r="AK121" s="12" t="b">
        <f t="shared" si="29"/>
        <v>1</v>
      </c>
    </row>
    <row r="122" spans="1:37" x14ac:dyDescent="0.2">
      <c r="A122" s="1">
        <f>Returns!A109</f>
        <v>45688</v>
      </c>
      <c r="B122" s="20">
        <f t="shared" si="30"/>
        <v>188520410.75754467</v>
      </c>
      <c r="C122" s="18">
        <f t="shared" si="31"/>
        <v>0.52580142380952666</v>
      </c>
      <c r="D122" s="18">
        <f t="shared" si="34"/>
        <v>0.12860253995328241</v>
      </c>
      <c r="E122" s="18">
        <f t="shared" si="34"/>
        <v>3.8975639263011223E-2</v>
      </c>
      <c r="F122" s="18">
        <f t="shared" si="34"/>
        <v>9.5373764523706286E-2</v>
      </c>
      <c r="G122" s="18">
        <f t="shared" si="33"/>
        <v>5.4773876513199676E-2</v>
      </c>
      <c r="H122" s="18">
        <f t="shared" si="32"/>
        <v>7.1678812311566323E-2</v>
      </c>
      <c r="I122" s="18">
        <f t="shared" si="32"/>
        <v>8.4793943625707524E-2</v>
      </c>
      <c r="J122" s="12">
        <f>J121*(1+Returns!B109)</f>
        <v>101922880.92406993</v>
      </c>
      <c r="K122" s="12">
        <f>K121*(1+Returns!C109)</f>
        <v>24928691.275167789</v>
      </c>
      <c r="L122" s="12">
        <f>L121*(1+Returns!D109)</f>
        <v>7555151.5451628985</v>
      </c>
      <c r="M122" s="12">
        <f>M121*(1+Returns!E109)</f>
        <v>18487528.570008937</v>
      </c>
      <c r="N122" s="12">
        <f>N121*(1+Returns!F109)</f>
        <v>10617527.912261641</v>
      </c>
      <c r="O122" s="12">
        <f>O121*(1+Returns!G109)</f>
        <v>13894429.952432102</v>
      </c>
      <c r="P122" s="12">
        <f>P121*(1+Returns!H109)</f>
        <v>16436705.242502427</v>
      </c>
      <c r="Q122" s="12">
        <f t="shared" si="18"/>
        <v>193842915.42160571</v>
      </c>
      <c r="R122" s="12">
        <f t="shared" si="19"/>
        <v>686526.9921181869</v>
      </c>
      <c r="S122" s="12">
        <f t="shared" si="20"/>
        <v>193156388.42948753</v>
      </c>
      <c r="T122" s="12"/>
      <c r="U122" t="b">
        <f t="shared" si="21"/>
        <v>1</v>
      </c>
      <c r="V122" s="12">
        <f>IF($U122=TRUE, $Q122*$C$7, $J122)</f>
        <v>58152874.626481712</v>
      </c>
      <c r="W122" s="12">
        <f>IF($U122=TRUE, $Q122*$C$8, $K122)</f>
        <v>29076437.313240856</v>
      </c>
      <c r="X122" s="12">
        <f>IF($U122=TRUE, $Q122*$C$9, $L122)</f>
        <v>9692145.7710802853</v>
      </c>
      <c r="Y122" s="12">
        <f>IF($U122=TRUE, $Q122*$C$10, $M122)</f>
        <v>38768583.084321141</v>
      </c>
      <c r="Z122" s="12">
        <f>IF($U122=TRUE, $Q122*$C$11, $N122)</f>
        <v>19384291.542160571</v>
      </c>
      <c r="AA122" s="12">
        <f>IF($U122=TRUE, $Q122*$C$12, $O122)</f>
        <v>19384291.542160571</v>
      </c>
      <c r="AB122" s="12">
        <f>IF($U122=TRUE, $Q122*$C$13, $P122)</f>
        <v>19384291.542160571</v>
      </c>
      <c r="AC122" s="12">
        <f>V122-(1-$B$3)</f>
        <v>58152873.630023375</v>
      </c>
      <c r="AD122" s="12">
        <f t="shared" si="22"/>
        <v>28973458.264423128</v>
      </c>
      <c r="AE122" s="12">
        <f t="shared" si="23"/>
        <v>9657819.4214743767</v>
      </c>
      <c r="AF122" s="12">
        <f t="shared" si="24"/>
        <v>38631277.685897507</v>
      </c>
      <c r="AG122" s="12">
        <f t="shared" si="25"/>
        <v>19315638.842948753</v>
      </c>
      <c r="AH122" s="12">
        <f t="shared" si="26"/>
        <v>19315638.842948753</v>
      </c>
      <c r="AI122" s="12">
        <f t="shared" si="27"/>
        <v>19315638.842948753</v>
      </c>
      <c r="AJ122" s="12">
        <f t="shared" si="28"/>
        <v>193362345.53066468</v>
      </c>
      <c r="AK122" s="12" t="b">
        <f t="shared" si="29"/>
        <v>1</v>
      </c>
    </row>
    <row r="123" spans="1:37" x14ac:dyDescent="0.2">
      <c r="A123" s="1">
        <f>Returns!A110</f>
        <v>45716</v>
      </c>
      <c r="B123" s="20">
        <f t="shared" si="30"/>
        <v>193156388.42948753</v>
      </c>
      <c r="C123" s="18">
        <f t="shared" si="31"/>
        <v>0.51699416432461953</v>
      </c>
      <c r="D123" s="18">
        <f t="shared" si="34"/>
        <v>0.13185704545574795</v>
      </c>
      <c r="E123" s="18">
        <f t="shared" si="34"/>
        <v>3.9260952279102548E-2</v>
      </c>
      <c r="F123" s="18">
        <f t="shared" si="34"/>
        <v>9.7330999576915836E-2</v>
      </c>
      <c r="G123" s="18">
        <f t="shared" si="33"/>
        <v>5.5640545580114061E-2</v>
      </c>
      <c r="H123" s="18">
        <f t="shared" si="32"/>
        <v>7.4025695793873872E-2</v>
      </c>
      <c r="I123" s="18">
        <f t="shared" si="32"/>
        <v>8.4890596989626227E-2</v>
      </c>
      <c r="J123" s="12">
        <f>J122*(1+Returns!B110)</f>
        <v>100628503.48224896</v>
      </c>
      <c r="K123" s="12">
        <f>K122*(1+Returns!C110)</f>
        <v>25664848.993288595</v>
      </c>
      <c r="L123" s="12">
        <f>L122*(1+Returns!D110)</f>
        <v>7641809.4163503945</v>
      </c>
      <c r="M123" s="12">
        <f>M122*(1+Returns!E110)</f>
        <v>18944648.713107415</v>
      </c>
      <c r="N123" s="12">
        <f>N122*(1+Returns!F110)</f>
        <v>10829957.514079643</v>
      </c>
      <c r="O123" s="12">
        <f>O122*(1+Returns!G110)</f>
        <v>14408470.154979289</v>
      </c>
      <c r="P123" s="12">
        <f>P122*(1+Returns!H110)</f>
        <v>16523230.481605653</v>
      </c>
      <c r="Q123" s="12">
        <f t="shared" si="18"/>
        <v>194641468.75565994</v>
      </c>
      <c r="R123" s="12">
        <f t="shared" si="19"/>
        <v>689355.2018429623</v>
      </c>
      <c r="S123" s="12">
        <f t="shared" si="20"/>
        <v>193952113.55381697</v>
      </c>
      <c r="T123" s="12"/>
      <c r="U123" t="b">
        <f t="shared" si="21"/>
        <v>1</v>
      </c>
      <c r="V123" s="12">
        <f>IF($U123=TRUE, $Q123*$C$7, $J123)</f>
        <v>58392440.62669798</v>
      </c>
      <c r="W123" s="12">
        <f>IF($U123=TRUE, $Q123*$C$8, $K123)</f>
        <v>29196220.31334899</v>
      </c>
      <c r="X123" s="12">
        <f>IF($U123=TRUE, $Q123*$C$9, $L123)</f>
        <v>9732073.4377829973</v>
      </c>
      <c r="Y123" s="12">
        <f>IF($U123=TRUE, $Q123*$C$10, $M123)</f>
        <v>38928293.751131989</v>
      </c>
      <c r="Z123" s="12">
        <f>IF($U123=TRUE, $Q123*$C$11, $N123)</f>
        <v>19464146.875565995</v>
      </c>
      <c r="AA123" s="12">
        <f>IF($U123=TRUE, $Q123*$C$12, $O123)</f>
        <v>19464146.875565995</v>
      </c>
      <c r="AB123" s="12">
        <f>IF($U123=TRUE, $Q123*$C$13, $P123)</f>
        <v>19464146.875565995</v>
      </c>
      <c r="AC123" s="12">
        <f>V123-(1-$B$3)</f>
        <v>58392439.630239643</v>
      </c>
      <c r="AD123" s="12">
        <f t="shared" si="22"/>
        <v>29092817.033072546</v>
      </c>
      <c r="AE123" s="12">
        <f t="shared" si="23"/>
        <v>9697605.6776908487</v>
      </c>
      <c r="AF123" s="12">
        <f t="shared" si="24"/>
        <v>38790422.710763395</v>
      </c>
      <c r="AG123" s="12">
        <f t="shared" si="25"/>
        <v>19395211.355381697</v>
      </c>
      <c r="AH123" s="12">
        <f t="shared" si="26"/>
        <v>19395211.355381697</v>
      </c>
      <c r="AI123" s="12">
        <f t="shared" si="27"/>
        <v>19395211.355381697</v>
      </c>
      <c r="AJ123" s="12">
        <f t="shared" si="28"/>
        <v>194158919.11791155</v>
      </c>
      <c r="AK123" s="12" t="b">
        <f t="shared" si="29"/>
        <v>1</v>
      </c>
    </row>
    <row r="124" spans="1:37" x14ac:dyDescent="0.2">
      <c r="A124" s="1">
        <f>Returns!A111</f>
        <v>45747</v>
      </c>
      <c r="B124" s="20">
        <f t="shared" si="30"/>
        <v>193952113.55381697</v>
      </c>
      <c r="C124" s="18">
        <f t="shared" si="31"/>
        <v>0.50291129941494173</v>
      </c>
      <c r="D124" s="18">
        <f t="shared" si="34"/>
        <v>0.1360840551025749</v>
      </c>
      <c r="E124" s="18">
        <f t="shared" si="34"/>
        <v>4.0903842163650346E-2</v>
      </c>
      <c r="F124" s="18">
        <f t="shared" si="34"/>
        <v>0.10031942551786635</v>
      </c>
      <c r="G124" s="18">
        <f t="shared" si="33"/>
        <v>5.6837752267511664E-2</v>
      </c>
      <c r="H124" s="18">
        <f t="shared" si="32"/>
        <v>7.3529819529772972E-2</v>
      </c>
      <c r="I124" s="18">
        <f t="shared" si="32"/>
        <v>8.9413806003682109E-2</v>
      </c>
      <c r="J124" s="12">
        <f>J123*(1+Returns!B111)</f>
        <v>95021233.225751594</v>
      </c>
      <c r="K124" s="12">
        <f>K123*(1+Returns!C111)</f>
        <v>25712038.59060403</v>
      </c>
      <c r="L124" s="12">
        <f>L123*(1+Returns!D111)</f>
        <v>7728467.2875378914</v>
      </c>
      <c r="M124" s="12">
        <f>M123*(1+Returns!E111)</f>
        <v>18954586.107522599</v>
      </c>
      <c r="N124" s="12">
        <f>N123*(1+Returns!F111)</f>
        <v>10739057.405394731</v>
      </c>
      <c r="O124" s="12">
        <f>O123*(1+Returns!G111)</f>
        <v>13892895.504066292</v>
      </c>
      <c r="P124" s="12">
        <f>P123*(1+Returns!H111)</f>
        <v>16894052.934905201</v>
      </c>
      <c r="Q124" s="12">
        <f t="shared" si="18"/>
        <v>188942331.05578232</v>
      </c>
      <c r="R124" s="12">
        <f t="shared" si="19"/>
        <v>669170.75582256238</v>
      </c>
      <c r="S124" s="12">
        <f t="shared" si="20"/>
        <v>188273160.29995975</v>
      </c>
      <c r="T124" s="12"/>
      <c r="U124" t="b">
        <f t="shared" si="21"/>
        <v>1</v>
      </c>
      <c r="V124" s="12">
        <f>IF($U124=TRUE, $Q124*$C$7, $J124)</f>
        <v>56682699.316734694</v>
      </c>
      <c r="W124" s="12">
        <f>IF($U124=TRUE, $Q124*$C$8, $K124)</f>
        <v>28341349.658367347</v>
      </c>
      <c r="X124" s="12">
        <f>IF($U124=TRUE, $Q124*$C$9, $L124)</f>
        <v>9447116.5527891163</v>
      </c>
      <c r="Y124" s="12">
        <f>IF($U124=TRUE, $Q124*$C$10, $M124)</f>
        <v>37788466.211156465</v>
      </c>
      <c r="Z124" s="12">
        <f>IF($U124=TRUE, $Q124*$C$11, $N124)</f>
        <v>18894233.105578233</v>
      </c>
      <c r="AA124" s="12">
        <f>IF($U124=TRUE, $Q124*$C$12, $O124)</f>
        <v>18894233.105578233</v>
      </c>
      <c r="AB124" s="12">
        <f>IF($U124=TRUE, $Q124*$C$13, $P124)</f>
        <v>18894233.105578233</v>
      </c>
      <c r="AC124" s="12">
        <f>V124-(1-$B$3)</f>
        <v>56682698.320276357</v>
      </c>
      <c r="AD124" s="12">
        <f t="shared" si="22"/>
        <v>28240974.044993963</v>
      </c>
      <c r="AE124" s="12">
        <f t="shared" si="23"/>
        <v>9413658.0149979889</v>
      </c>
      <c r="AF124" s="12">
        <f t="shared" si="24"/>
        <v>37654632.059991956</v>
      </c>
      <c r="AG124" s="12">
        <f t="shared" si="25"/>
        <v>18827316.029995978</v>
      </c>
      <c r="AH124" s="12">
        <f t="shared" si="26"/>
        <v>18827316.029995978</v>
      </c>
      <c r="AI124" s="12">
        <f t="shared" si="27"/>
        <v>18827316.029995978</v>
      </c>
      <c r="AJ124" s="12">
        <f t="shared" si="28"/>
        <v>188473910.53024819</v>
      </c>
      <c r="AK124" s="12" t="b">
        <f t="shared" si="29"/>
        <v>1</v>
      </c>
    </row>
    <row r="125" spans="1:37" x14ac:dyDescent="0.2">
      <c r="A125" s="1">
        <f>Returns!A112</f>
        <v>45777</v>
      </c>
      <c r="B125" s="20">
        <f t="shared" si="30"/>
        <v>188273160.29995975</v>
      </c>
      <c r="C125" s="18">
        <f t="shared" si="31"/>
        <v>0.49750243601505423</v>
      </c>
      <c r="D125" s="18">
        <f t="shared" si="34"/>
        <v>0.14081570328277787</v>
      </c>
      <c r="E125" s="18">
        <f t="shared" si="34"/>
        <v>4.0873856766240411E-2</v>
      </c>
      <c r="F125" s="18">
        <f t="shared" si="34"/>
        <v>0.10084321499250412</v>
      </c>
      <c r="G125" s="18">
        <f t="shared" si="33"/>
        <v>5.6347709587759427E-2</v>
      </c>
      <c r="H125" s="18">
        <f t="shared" si="32"/>
        <v>7.1584151042073718E-2</v>
      </c>
      <c r="I125" s="18">
        <f t="shared" si="32"/>
        <v>9.2032928313590445E-2</v>
      </c>
      <c r="J125" s="12">
        <f>J124*(1+Returns!B112)</f>
        <v>94197384.066587329</v>
      </c>
      <c r="K125" s="12">
        <f>K124*(1+Returns!C112)</f>
        <v>26662122.483221475</v>
      </c>
      <c r="L125" s="12">
        <f>L124*(1+Returns!D112)</f>
        <v>7739078.4554383997</v>
      </c>
      <c r="M125" s="12">
        <f>M124*(1+Returns!E112)</f>
        <v>19093709.629335176</v>
      </c>
      <c r="N125" s="12">
        <f>N124*(1+Returns!F112)</f>
        <v>10668906.23456181</v>
      </c>
      <c r="O125" s="12">
        <f>O124*(1+Returns!G112)</f>
        <v>13553782.41522173</v>
      </c>
      <c r="P125" s="12">
        <f>P124*(1+Returns!H112)</f>
        <v>17425565.117967885</v>
      </c>
      <c r="Q125" s="12">
        <f t="shared" si="18"/>
        <v>189340548.40233377</v>
      </c>
      <c r="R125" s="12">
        <f t="shared" si="19"/>
        <v>670581.10892493208</v>
      </c>
      <c r="S125" s="12">
        <f t="shared" si="20"/>
        <v>188669967.29340884</v>
      </c>
      <c r="T125" s="12"/>
      <c r="U125" t="b">
        <f t="shared" si="21"/>
        <v>1</v>
      </c>
      <c r="V125" s="12">
        <f>IF($U125=TRUE, $Q125*$C$7, $J125)</f>
        <v>56802164.520700127</v>
      </c>
      <c r="W125" s="12">
        <f>IF($U125=TRUE, $Q125*$C$8, $K125)</f>
        <v>28401082.260350063</v>
      </c>
      <c r="X125" s="12">
        <f>IF($U125=TRUE, $Q125*$C$9, $L125)</f>
        <v>9467027.4201166891</v>
      </c>
      <c r="Y125" s="12">
        <f>IF($U125=TRUE, $Q125*$C$10, $M125)</f>
        <v>37868109.680466756</v>
      </c>
      <c r="Z125" s="12">
        <f>IF($U125=TRUE, $Q125*$C$11, $N125)</f>
        <v>18934054.840233378</v>
      </c>
      <c r="AA125" s="12">
        <f>IF($U125=TRUE, $Q125*$C$12, $O125)</f>
        <v>18934054.840233378</v>
      </c>
      <c r="AB125" s="12">
        <f>IF($U125=TRUE, $Q125*$C$13, $P125)</f>
        <v>18934054.840233378</v>
      </c>
      <c r="AC125" s="12">
        <f>V125-(1-$B$3)</f>
        <v>56802163.52424179</v>
      </c>
      <c r="AD125" s="12">
        <f t="shared" si="22"/>
        <v>28300495.094011325</v>
      </c>
      <c r="AE125" s="12">
        <f t="shared" si="23"/>
        <v>9433498.3646704424</v>
      </c>
      <c r="AF125" s="12">
        <f t="shared" si="24"/>
        <v>37733993.45868177</v>
      </c>
      <c r="AG125" s="12">
        <f t="shared" si="25"/>
        <v>18866996.729340885</v>
      </c>
      <c r="AH125" s="12">
        <f t="shared" si="26"/>
        <v>18866996.729340885</v>
      </c>
      <c r="AI125" s="12">
        <f t="shared" si="27"/>
        <v>18866996.729340885</v>
      </c>
      <c r="AJ125" s="12">
        <f t="shared" si="28"/>
        <v>188871140.62962797</v>
      </c>
      <c r="AK125" s="12" t="b">
        <f t="shared" si="29"/>
        <v>1</v>
      </c>
    </row>
    <row r="126" spans="1:37" x14ac:dyDescent="0.2">
      <c r="A126" s="1">
        <f>Returns!A113</f>
        <v>45808</v>
      </c>
      <c r="B126" s="20">
        <f t="shared" si="30"/>
        <v>188669967.29340884</v>
      </c>
      <c r="C126" s="18">
        <f t="shared" si="31"/>
        <v>0.50695214891357976</v>
      </c>
      <c r="D126" s="18">
        <f t="shared" si="34"/>
        <v>0.14147350832034714</v>
      </c>
      <c r="E126" s="18">
        <f t="shared" si="34"/>
        <v>4.076359053726044E-2</v>
      </c>
      <c r="F126" s="18">
        <f t="shared" si="34"/>
        <v>9.5173086331378887E-2</v>
      </c>
      <c r="G126" s="18">
        <f t="shared" si="33"/>
        <v>5.3917866502589958E-2</v>
      </c>
      <c r="H126" s="18">
        <f t="shared" si="32"/>
        <v>6.9399962294844353E-2</v>
      </c>
      <c r="I126" s="18">
        <f t="shared" si="32"/>
        <v>9.2319837099999427E-2</v>
      </c>
      <c r="J126" s="12">
        <f>J125*(1+Returns!B113)</f>
        <v>100117207.40614907</v>
      </c>
      <c r="K126" s="12">
        <f>K125*(1+Returns!C113)</f>
        <v>27939387.583892617</v>
      </c>
      <c r="L126" s="12">
        <f>L125*(1+Returns!D113)</f>
        <v>8050339.3805200178</v>
      </c>
      <c r="M126" s="12">
        <f>M125*(1+Returns!E113)</f>
        <v>18795587.796879645</v>
      </c>
      <c r="N126" s="12">
        <f>N125*(1+Returns!F113)</f>
        <v>10648157.296709819</v>
      </c>
      <c r="O126" s="12">
        <f>O125*(1+Returns!G113)</f>
        <v>13705692.803437168</v>
      </c>
      <c r="P126" s="12">
        <f>P125*(1+Returns!H113)</f>
        <v>18232103.953894399</v>
      </c>
      <c r="Q126" s="12">
        <f t="shared" si="18"/>
        <v>197488476.22148275</v>
      </c>
      <c r="R126" s="12">
        <f t="shared" si="19"/>
        <v>699438.35328441812</v>
      </c>
      <c r="S126" s="12">
        <f t="shared" si="20"/>
        <v>196789037.86819834</v>
      </c>
      <c r="T126" s="12"/>
      <c r="U126" t="b">
        <f t="shared" si="21"/>
        <v>1</v>
      </c>
      <c r="V126" s="12">
        <f>IF($U126=TRUE, $Q126*$C$7, $J126)</f>
        <v>59246542.866444826</v>
      </c>
      <c r="W126" s="12">
        <f>IF($U126=TRUE, $Q126*$C$8, $K126)</f>
        <v>29623271.433222413</v>
      </c>
      <c r="X126" s="12">
        <f>IF($U126=TRUE, $Q126*$C$9, $L126)</f>
        <v>9874423.8110741377</v>
      </c>
      <c r="Y126" s="12">
        <f>IF($U126=TRUE, $Q126*$C$10, $M126)</f>
        <v>39497695.244296551</v>
      </c>
      <c r="Z126" s="12">
        <f>IF($U126=TRUE, $Q126*$C$11, $N126)</f>
        <v>19748847.622148275</v>
      </c>
      <c r="AA126" s="12">
        <f>IF($U126=TRUE, $Q126*$C$12, $O126)</f>
        <v>19748847.622148275</v>
      </c>
      <c r="AB126" s="12">
        <f>IF($U126=TRUE, $Q126*$C$13, $P126)</f>
        <v>19748847.622148275</v>
      </c>
      <c r="AC126" s="12">
        <f>V126-(1-$B$3)</f>
        <v>59246541.869986489</v>
      </c>
      <c r="AD126" s="12">
        <f t="shared" si="22"/>
        <v>29518355.68022975</v>
      </c>
      <c r="AE126" s="12">
        <f t="shared" si="23"/>
        <v>9839451.8934099171</v>
      </c>
      <c r="AF126" s="12">
        <f t="shared" si="24"/>
        <v>39357807.573639669</v>
      </c>
      <c r="AG126" s="12">
        <f t="shared" si="25"/>
        <v>19678903.786819834</v>
      </c>
      <c r="AH126" s="12">
        <f t="shared" si="26"/>
        <v>19678903.786819834</v>
      </c>
      <c r="AI126" s="12">
        <f t="shared" si="27"/>
        <v>19678903.786819834</v>
      </c>
      <c r="AJ126" s="12">
        <f t="shared" si="28"/>
        <v>196998868.37772536</v>
      </c>
      <c r="AK126" s="12" t="b">
        <f t="shared" si="29"/>
        <v>1</v>
      </c>
    </row>
    <row r="127" spans="1:37" x14ac:dyDescent="0.2">
      <c r="A127" s="1">
        <f>Returns!A114</f>
        <v>45838</v>
      </c>
      <c r="B127" s="20">
        <f t="shared" si="30"/>
        <v>196789037.86819834</v>
      </c>
      <c r="C127" s="18">
        <f t="shared" si="31"/>
        <v>0.51591371271748598</v>
      </c>
      <c r="D127" s="18">
        <f t="shared" si="34"/>
        <v>0.13823945270443067</v>
      </c>
      <c r="E127" s="18">
        <f t="shared" si="34"/>
        <v>4.1937959052900972E-2</v>
      </c>
      <c r="F127" s="18">
        <f t="shared" si="34"/>
        <v>9.3566431535886035E-2</v>
      </c>
      <c r="G127" s="18">
        <f t="shared" si="33"/>
        <v>5.3237151367382142E-2</v>
      </c>
      <c r="H127" s="18">
        <f t="shared" si="32"/>
        <v>6.7177374451171237E-2</v>
      </c>
      <c r="I127" s="18">
        <f t="shared" si="32"/>
        <v>8.992791817074304E-2</v>
      </c>
      <c r="J127" s="12">
        <f>J126*(1+Returns!B114)</f>
        <v>104951588.24528617</v>
      </c>
      <c r="K127" s="12">
        <f>K126*(1+Returns!C114)</f>
        <v>28121854.026845638</v>
      </c>
      <c r="L127" s="12">
        <f>L126*(1+Returns!D114)</f>
        <v>8531378.9920097906</v>
      </c>
      <c r="M127" s="12">
        <f>M126*(1+Returns!E114)</f>
        <v>19034085.262844071</v>
      </c>
      <c r="N127" s="12">
        <f>N126*(1+Returns!F114)</f>
        <v>10829957.514079643</v>
      </c>
      <c r="O127" s="12">
        <f>O126*(1+Returns!G114)</f>
        <v>13665797.145926045</v>
      </c>
      <c r="P127" s="12">
        <f>P126*(1+Returns!H114)</f>
        <v>18293907.69611099</v>
      </c>
      <c r="Q127" s="12">
        <f t="shared" si="18"/>
        <v>203428568.88310233</v>
      </c>
      <c r="R127" s="12">
        <f t="shared" si="19"/>
        <v>720476.18146098743</v>
      </c>
      <c r="S127" s="12">
        <f t="shared" si="20"/>
        <v>202708092.70164135</v>
      </c>
      <c r="T127" s="12"/>
      <c r="U127" t="b">
        <f t="shared" si="21"/>
        <v>1</v>
      </c>
      <c r="V127" s="12">
        <f>IF($U127=TRUE, $Q127*$C$7, $J127)</f>
        <v>61028570.664930694</v>
      </c>
      <c r="W127" s="12">
        <f>IF($U127=TRUE, $Q127*$C$8, $K127)</f>
        <v>30514285.332465347</v>
      </c>
      <c r="X127" s="12">
        <f>IF($U127=TRUE, $Q127*$C$9, $L127)</f>
        <v>10171428.444155117</v>
      </c>
      <c r="Y127" s="12">
        <f>IF($U127=TRUE, $Q127*$C$10, $M127)</f>
        <v>40685713.77662047</v>
      </c>
      <c r="Z127" s="12">
        <f>IF($U127=TRUE, $Q127*$C$11, $N127)</f>
        <v>20342856.888310235</v>
      </c>
      <c r="AA127" s="12">
        <f>IF($U127=TRUE, $Q127*$C$12, $O127)</f>
        <v>20342856.888310235</v>
      </c>
      <c r="AB127" s="12">
        <f>IF($U127=TRUE, $Q127*$C$13, $P127)</f>
        <v>20342856.888310235</v>
      </c>
      <c r="AC127" s="12">
        <f>V127-(1-$B$3)</f>
        <v>61028569.668472357</v>
      </c>
      <c r="AD127" s="12">
        <f t="shared" si="22"/>
        <v>30406213.905246198</v>
      </c>
      <c r="AE127" s="12">
        <f t="shared" si="23"/>
        <v>10135404.635082068</v>
      </c>
      <c r="AF127" s="12">
        <f t="shared" si="24"/>
        <v>40541618.540328272</v>
      </c>
      <c r="AG127" s="12">
        <f t="shared" si="25"/>
        <v>20270809.270164136</v>
      </c>
      <c r="AH127" s="12">
        <f t="shared" si="26"/>
        <v>20270809.270164136</v>
      </c>
      <c r="AI127" s="12">
        <f t="shared" si="27"/>
        <v>20270809.270164136</v>
      </c>
      <c r="AJ127" s="12">
        <f t="shared" si="28"/>
        <v>202924234.55962127</v>
      </c>
      <c r="AK127" s="12" t="b">
        <f t="shared" si="29"/>
        <v>1</v>
      </c>
    </row>
    <row r="128" spans="1:37" x14ac:dyDescent="0.2">
      <c r="A128" s="1">
        <f>Returns!A115</f>
        <v>45869</v>
      </c>
      <c r="B128" s="20">
        <f t="shared" si="30"/>
        <v>202708092.70164135</v>
      </c>
      <c r="C128" s="18">
        <f t="shared" si="31"/>
        <v>0.52357918314409679</v>
      </c>
      <c r="D128" s="18">
        <f t="shared" si="34"/>
        <v>0.13426619439071566</v>
      </c>
      <c r="E128" s="18">
        <f t="shared" si="34"/>
        <v>4.1878871694594949E-2</v>
      </c>
      <c r="F128" s="18">
        <f t="shared" si="34"/>
        <v>9.197569827111296E-2</v>
      </c>
      <c r="G128" s="18">
        <f t="shared" si="33"/>
        <v>5.257090932864511E-2</v>
      </c>
      <c r="H128" s="18">
        <f t="shared" si="32"/>
        <v>6.6700527262276571E-2</v>
      </c>
      <c r="I128" s="18">
        <f t="shared" si="32"/>
        <v>8.9028615908557679E-2</v>
      </c>
      <c r="J128" s="12">
        <f>J127*(1+Returns!B115)</f>
        <v>107368778.66485471</v>
      </c>
      <c r="K128" s="12">
        <f>K127*(1+Returns!C115)</f>
        <v>27533557.046979863</v>
      </c>
      <c r="L128" s="12">
        <f>L127*(1+Returns!D115)</f>
        <v>8587971.8874791749</v>
      </c>
      <c r="M128" s="12">
        <f>M127*(1+Returns!E115)</f>
        <v>18861174.600019865</v>
      </c>
      <c r="N128" s="12">
        <f>N127*(1+Returns!F115)</f>
        <v>10780555.281098712</v>
      </c>
      <c r="O128" s="12">
        <f>O127*(1+Returns!G115)</f>
        <v>13678072.732852546</v>
      </c>
      <c r="P128" s="12">
        <f>P127*(1+Returns!H115)</f>
        <v>18256825.450781036</v>
      </c>
      <c r="Q128" s="12">
        <f t="shared" si="18"/>
        <v>205066935.66406596</v>
      </c>
      <c r="R128" s="12">
        <f t="shared" si="19"/>
        <v>726278.73047690035</v>
      </c>
      <c r="S128" s="12">
        <f t="shared" si="20"/>
        <v>204340656.93358907</v>
      </c>
      <c r="T128" s="12"/>
      <c r="U128" t="b">
        <f t="shared" si="21"/>
        <v>1</v>
      </c>
      <c r="V128" s="12">
        <f>IF($U128=TRUE, $Q128*$C$7, $J128)</f>
        <v>61520080.699219786</v>
      </c>
      <c r="W128" s="12">
        <f>IF($U128=TRUE, $Q128*$C$8, $K128)</f>
        <v>30760040.349609893</v>
      </c>
      <c r="X128" s="12">
        <f>IF($U128=TRUE, $Q128*$C$9, $L128)</f>
        <v>10253346.783203298</v>
      </c>
      <c r="Y128" s="12">
        <f>IF($U128=TRUE, $Q128*$C$10, $M128)</f>
        <v>41013387.132813193</v>
      </c>
      <c r="Z128" s="12">
        <f>IF($U128=TRUE, $Q128*$C$11, $N128)</f>
        <v>20506693.566406596</v>
      </c>
      <c r="AA128" s="12">
        <f>IF($U128=TRUE, $Q128*$C$12, $O128)</f>
        <v>20506693.566406596</v>
      </c>
      <c r="AB128" s="12">
        <f>IF($U128=TRUE, $Q128*$C$13, $P128)</f>
        <v>20506693.566406596</v>
      </c>
      <c r="AC128" s="12">
        <f>V128-(1-$B$3)</f>
        <v>61520079.702761449</v>
      </c>
      <c r="AD128" s="12">
        <f t="shared" si="22"/>
        <v>30651098.540038358</v>
      </c>
      <c r="AE128" s="12">
        <f t="shared" si="23"/>
        <v>10217032.846679453</v>
      </c>
      <c r="AF128" s="12">
        <f t="shared" si="24"/>
        <v>40868131.386717811</v>
      </c>
      <c r="AG128" s="12">
        <f t="shared" si="25"/>
        <v>20434065.693358906</v>
      </c>
      <c r="AH128" s="12">
        <f t="shared" si="26"/>
        <v>20434065.693358906</v>
      </c>
      <c r="AI128" s="12">
        <f t="shared" si="27"/>
        <v>20434065.693358906</v>
      </c>
      <c r="AJ128" s="12">
        <f t="shared" si="28"/>
        <v>204558539.55627376</v>
      </c>
      <c r="AK128" s="12" t="b">
        <f t="shared" si="29"/>
        <v>1</v>
      </c>
    </row>
    <row r="129" spans="1:37" x14ac:dyDescent="0.2">
      <c r="A129" s="1">
        <f>Returns!A116</f>
        <v>45900</v>
      </c>
      <c r="B129" s="20">
        <f t="shared" si="30"/>
        <v>204340656.93358907</v>
      </c>
      <c r="C129" s="18">
        <f t="shared" si="31"/>
        <v>0.5219437437335207</v>
      </c>
      <c r="D129" s="18">
        <f t="shared" si="34"/>
        <v>0.13708991930561371</v>
      </c>
      <c r="E129" s="18">
        <f t="shared" si="34"/>
        <v>4.2003798144832322E-2</v>
      </c>
      <c r="F129" s="18">
        <f t="shared" si="34"/>
        <v>9.1028243816191332E-2</v>
      </c>
      <c r="G129" s="18">
        <f t="shared" si="33"/>
        <v>5.167771087056821E-2</v>
      </c>
      <c r="H129" s="18">
        <f t="shared" si="32"/>
        <v>6.7421114268255353E-2</v>
      </c>
      <c r="I129" s="18">
        <f t="shared" si="32"/>
        <v>8.8835469861018368E-2</v>
      </c>
      <c r="J129" s="12">
        <f>J128*(1+Returns!B116)</f>
        <v>109571938.16884655</v>
      </c>
      <c r="K129" s="12">
        <f>K128*(1+Returns!C116)</f>
        <v>28779362.416107379</v>
      </c>
      <c r="L129" s="12">
        <f>L128*(1+Returns!D116)</f>
        <v>8817880.5253235511</v>
      </c>
      <c r="M129" s="12">
        <f>M128*(1+Returns!E116)</f>
        <v>19109609.460399471</v>
      </c>
      <c r="N129" s="12">
        <f>N128*(1+Returns!F116)</f>
        <v>10848730.362612395</v>
      </c>
      <c r="O129" s="12">
        <f>O128*(1+Returns!G116)</f>
        <v>14153751.726254418</v>
      </c>
      <c r="P129" s="12">
        <f>P128*(1+Returns!H116)</f>
        <v>18649279.213856392</v>
      </c>
      <c r="Q129" s="12">
        <f t="shared" si="18"/>
        <v>209930551.87340015</v>
      </c>
      <c r="R129" s="12">
        <f t="shared" si="19"/>
        <v>743504.0378849589</v>
      </c>
      <c r="S129" s="12">
        <f t="shared" si="20"/>
        <v>209187047.8355152</v>
      </c>
      <c r="T129" s="12"/>
      <c r="U129" t="b">
        <f t="shared" si="21"/>
        <v>1</v>
      </c>
      <c r="V129" s="12">
        <f>IF($U129=TRUE, $Q129*$C$7, $J129)</f>
        <v>62979165.562020041</v>
      </c>
      <c r="W129" s="12">
        <f>IF($U129=TRUE, $Q129*$C$8, $K129)</f>
        <v>31489582.781010021</v>
      </c>
      <c r="X129" s="12">
        <f>IF($U129=TRUE, $Q129*$C$9, $L129)</f>
        <v>10496527.593670009</v>
      </c>
      <c r="Y129" s="12">
        <f>IF($U129=TRUE, $Q129*$C$10, $M129)</f>
        <v>41986110.374680035</v>
      </c>
      <c r="Z129" s="12">
        <f>IF($U129=TRUE, $Q129*$C$11, $N129)</f>
        <v>20993055.187340017</v>
      </c>
      <c r="AA129" s="12">
        <f>IF($U129=TRUE, $Q129*$C$12, $O129)</f>
        <v>20993055.187340017</v>
      </c>
      <c r="AB129" s="12">
        <f>IF($U129=TRUE, $Q129*$C$13, $P129)</f>
        <v>20993055.187340017</v>
      </c>
      <c r="AC129" s="12">
        <f>V129-(1-$B$3)</f>
        <v>62979164.565561704</v>
      </c>
      <c r="AD129" s="12">
        <f t="shared" si="22"/>
        <v>31378057.175327275</v>
      </c>
      <c r="AE129" s="12">
        <f t="shared" si="23"/>
        <v>10459352.391775761</v>
      </c>
      <c r="AF129" s="12">
        <f t="shared" si="24"/>
        <v>41837409.567103043</v>
      </c>
      <c r="AG129" s="12">
        <f t="shared" si="25"/>
        <v>20918704.783551522</v>
      </c>
      <c r="AH129" s="12">
        <f t="shared" si="26"/>
        <v>20918704.783551522</v>
      </c>
      <c r="AI129" s="12">
        <f t="shared" si="27"/>
        <v>20918704.783551522</v>
      </c>
      <c r="AJ129" s="12">
        <f t="shared" si="28"/>
        <v>209410098.05042231</v>
      </c>
      <c r="AK129" s="12" t="b">
        <f t="shared" si="29"/>
        <v>1</v>
      </c>
    </row>
    <row r="130" spans="1:37" x14ac:dyDescent="0.2">
      <c r="A130" s="1">
        <f>Returns!A117</f>
        <v>45930</v>
      </c>
      <c r="B130" s="20">
        <f t="shared" si="30"/>
        <v>209187047.8355152</v>
      </c>
      <c r="C130" s="18">
        <f t="shared" si="31"/>
        <v>0.52613736291878499</v>
      </c>
      <c r="D130" s="18">
        <f t="shared" si="34"/>
        <v>0.13657272047157462</v>
      </c>
      <c r="E130" s="18">
        <f t="shared" si="34"/>
        <v>4.3909124962219048E-2</v>
      </c>
      <c r="F130" s="18">
        <f t="shared" si="34"/>
        <v>8.913563646860452E-2</v>
      </c>
      <c r="G130" s="18">
        <f t="shared" si="33"/>
        <v>5.1207805614051291E-2</v>
      </c>
      <c r="H130" s="18">
        <f t="shared" si="32"/>
        <v>6.5222146153052218E-2</v>
      </c>
      <c r="I130" s="18">
        <f t="shared" si="32"/>
        <v>8.7815203411713352E-2</v>
      </c>
      <c r="J130" s="12">
        <f>J129*(1+Returns!B117)</f>
        <v>113161202.64990652</v>
      </c>
      <c r="K130" s="12">
        <f>K129*(1+Returns!C117)</f>
        <v>29373951.342281878</v>
      </c>
      <c r="L130" s="12">
        <f>L129*(1+Returns!D117)</f>
        <v>9443939.4314536229</v>
      </c>
      <c r="M130" s="12">
        <f>M129*(1+Returns!E117)</f>
        <v>19171221.305773612</v>
      </c>
      <c r="N130" s="12">
        <f>N129*(1+Returns!F117)</f>
        <v>11013733.820768703</v>
      </c>
      <c r="O130" s="12">
        <f>O129*(1+Returns!G117)</f>
        <v>14027926.960257795</v>
      </c>
      <c r="P130" s="12">
        <f>P129*(1+Returns!H117)</f>
        <v>18887223.621390264</v>
      </c>
      <c r="Q130" s="12">
        <f t="shared" si="18"/>
        <v>215079199.13183239</v>
      </c>
      <c r="R130" s="12">
        <f t="shared" si="19"/>
        <v>761738.83025857306</v>
      </c>
      <c r="S130" s="12">
        <f t="shared" si="20"/>
        <v>214317460.30157381</v>
      </c>
      <c r="T130" s="12"/>
      <c r="U130" t="b">
        <f t="shared" si="21"/>
        <v>1</v>
      </c>
      <c r="V130" s="12">
        <f>IF($U130=TRUE, $Q130*$C$7, $J130)</f>
        <v>64523759.739549711</v>
      </c>
      <c r="W130" s="12">
        <f>IF($U130=TRUE, $Q130*$C$8, $K130)</f>
        <v>32261879.869774856</v>
      </c>
      <c r="X130" s="12">
        <f>IF($U130=TRUE, $Q130*$C$9, $L130)</f>
        <v>10753959.956591621</v>
      </c>
      <c r="Y130" s="12">
        <f>IF($U130=TRUE, $Q130*$C$10, $M130)</f>
        <v>43015839.826366484</v>
      </c>
      <c r="Z130" s="12">
        <f>IF($U130=TRUE, $Q130*$C$11, $N130)</f>
        <v>21507919.913183242</v>
      </c>
      <c r="AA130" s="12">
        <f>IF($U130=TRUE, $Q130*$C$12, $O130)</f>
        <v>21507919.913183242</v>
      </c>
      <c r="AB130" s="12">
        <f>IF($U130=TRUE, $Q130*$C$13, $P130)</f>
        <v>21507919.913183242</v>
      </c>
      <c r="AC130" s="12">
        <f>V130-(1-$B$3)</f>
        <v>64523758.743091375</v>
      </c>
      <c r="AD130" s="12">
        <f t="shared" si="22"/>
        <v>32147619.04523607</v>
      </c>
      <c r="AE130" s="12">
        <f t="shared" si="23"/>
        <v>10715873.015078692</v>
      </c>
      <c r="AF130" s="12">
        <f t="shared" si="24"/>
        <v>42863492.060314767</v>
      </c>
      <c r="AG130" s="12">
        <f t="shared" si="25"/>
        <v>21431746.030157384</v>
      </c>
      <c r="AH130" s="12">
        <f t="shared" si="26"/>
        <v>21431746.030157384</v>
      </c>
      <c r="AI130" s="12">
        <f t="shared" si="27"/>
        <v>21431746.030157384</v>
      </c>
      <c r="AJ130" s="12">
        <f t="shared" si="28"/>
        <v>214545980.95419306</v>
      </c>
      <c r="AK130" s="12" t="b">
        <f t="shared" si="29"/>
        <v>1</v>
      </c>
    </row>
    <row r="131" spans="1:37" x14ac:dyDescent="0.2">
      <c r="A131" s="1">
        <f>Returns!A118</f>
        <v>45961</v>
      </c>
      <c r="B131" s="20">
        <f t="shared" si="30"/>
        <v>214317460.30157381</v>
      </c>
      <c r="C131" s="18">
        <f t="shared" si="31"/>
        <v>0.53112548846573682</v>
      </c>
      <c r="D131" s="18">
        <f t="shared" si="34"/>
        <v>0.13627288800433299</v>
      </c>
      <c r="E131" s="18">
        <f t="shared" si="34"/>
        <v>4.4833811958517863E-2</v>
      </c>
      <c r="F131" s="18">
        <f t="shared" si="34"/>
        <v>8.8241066136693705E-2</v>
      </c>
      <c r="G131" s="18">
        <f t="shared" si="33"/>
        <v>5.0381037995946891E-2</v>
      </c>
      <c r="H131" s="18">
        <f t="shared" si="32"/>
        <v>6.2731886155672906E-2</v>
      </c>
      <c r="I131" s="18">
        <f t="shared" si="32"/>
        <v>8.6413821283098935E-2</v>
      </c>
      <c r="J131" s="12">
        <f>J130*(1+Returns!B118)</f>
        <v>115858671.64939693</v>
      </c>
      <c r="K131" s="12">
        <f>K130*(1+Returns!C118)</f>
        <v>29726300.335570466</v>
      </c>
      <c r="L131" s="12">
        <f>L130*(1+Returns!D118)</f>
        <v>9779959.7483030967</v>
      </c>
      <c r="M131" s="12">
        <f>M130*(1+Returns!E118)</f>
        <v>19248732.982212052</v>
      </c>
      <c r="N131" s="12">
        <f>N130*(1+Returns!F118)</f>
        <v>10990020.748937856</v>
      </c>
      <c r="O131" s="12">
        <f>O130*(1+Returns!G118)</f>
        <v>13684210.526315799</v>
      </c>
      <c r="P131" s="12">
        <f>P130*(1+Returns!H118)</f>
        <v>18850141.376060311</v>
      </c>
      <c r="Q131" s="12">
        <f t="shared" si="18"/>
        <v>218138037.36679649</v>
      </c>
      <c r="R131" s="12">
        <f t="shared" si="19"/>
        <v>772572.21567407099</v>
      </c>
      <c r="S131" s="12">
        <f t="shared" si="20"/>
        <v>217365465.15112242</v>
      </c>
      <c r="T131" s="12"/>
      <c r="U131" t="b">
        <f t="shared" si="21"/>
        <v>1</v>
      </c>
      <c r="V131" s="12">
        <f>IF($U131=TRUE, $Q131*$C$7, $J131)</f>
        <v>65441411.210038945</v>
      </c>
      <c r="W131" s="12">
        <f>IF($U131=TRUE, $Q131*$C$8, $K131)</f>
        <v>32720705.605019473</v>
      </c>
      <c r="X131" s="12">
        <f>IF($U131=TRUE, $Q131*$C$9, $L131)</f>
        <v>10906901.868339825</v>
      </c>
      <c r="Y131" s="12">
        <f>IF($U131=TRUE, $Q131*$C$10, $M131)</f>
        <v>43627607.473359302</v>
      </c>
      <c r="Z131" s="12">
        <f>IF($U131=TRUE, $Q131*$C$11, $N131)</f>
        <v>21813803.736679651</v>
      </c>
      <c r="AA131" s="12">
        <f>IF($U131=TRUE, $Q131*$C$12, $O131)</f>
        <v>21813803.736679651</v>
      </c>
      <c r="AB131" s="12">
        <f>IF($U131=TRUE, $Q131*$C$13, $P131)</f>
        <v>21813803.736679651</v>
      </c>
      <c r="AC131" s="12">
        <f>V131-(1-$B$3)</f>
        <v>65441410.213580608</v>
      </c>
      <c r="AD131" s="12">
        <f t="shared" si="22"/>
        <v>32604819.772668362</v>
      </c>
      <c r="AE131" s="12">
        <f t="shared" si="23"/>
        <v>10868273.257556122</v>
      </c>
      <c r="AF131" s="12">
        <f t="shared" si="24"/>
        <v>43473093.030224487</v>
      </c>
      <c r="AG131" s="12">
        <f t="shared" si="25"/>
        <v>21736546.515112244</v>
      </c>
      <c r="AH131" s="12">
        <f t="shared" si="26"/>
        <v>21736546.515112244</v>
      </c>
      <c r="AI131" s="12">
        <f t="shared" si="27"/>
        <v>21736546.515112244</v>
      </c>
      <c r="AJ131" s="12">
        <f t="shared" si="28"/>
        <v>217597235.81936634</v>
      </c>
      <c r="AK131" s="12" t="b">
        <f t="shared" si="29"/>
        <v>1</v>
      </c>
    </row>
    <row r="132" spans="1:37" x14ac:dyDescent="0.2">
      <c r="A132" s="1">
        <f>Returns!A119</f>
        <v>45991</v>
      </c>
      <c r="B132" s="20">
        <f t="shared" si="30"/>
        <v>217365465.15112242</v>
      </c>
      <c r="C132" s="18">
        <f t="shared" si="31"/>
        <v>0.52868983638133182</v>
      </c>
      <c r="D132" s="18">
        <f t="shared" si="34"/>
        <v>0.13638691845623219</v>
      </c>
      <c r="E132" s="18">
        <f t="shared" si="34"/>
        <v>4.3752016601970381E-2</v>
      </c>
      <c r="F132" s="18">
        <f t="shared" si="34"/>
        <v>8.8253820800697311E-2</v>
      </c>
      <c r="G132" s="18">
        <f t="shared" si="33"/>
        <v>5.0335891866634411E-2</v>
      </c>
      <c r="H132" s="18">
        <f t="shared" si="32"/>
        <v>6.3832178146188828E-2</v>
      </c>
      <c r="I132" s="18">
        <f t="shared" si="32"/>
        <v>8.8749337746945073E-2</v>
      </c>
      <c r="J132" s="12">
        <f>J131*(1+Returns!B119)</f>
        <v>116084593.17139454</v>
      </c>
      <c r="K132" s="12">
        <f>K131*(1+Returns!C119)</f>
        <v>29946518.456375837</v>
      </c>
      <c r="L132" s="12">
        <f>L131*(1+Returns!D119)</f>
        <v>9606644.0059281047</v>
      </c>
      <c r="M132" s="12">
        <f>M131*(1+Returns!E119)</f>
        <v>19377919.109609451</v>
      </c>
      <c r="N132" s="12">
        <f>N131*(1+Returns!F119)</f>
        <v>11052267.562493827</v>
      </c>
      <c r="O132" s="12">
        <f>O131*(1+Returns!G119)</f>
        <v>14015651.373331297</v>
      </c>
      <c r="P132" s="12">
        <f>P131*(1+Returns!H119)</f>
        <v>19486719.920891199</v>
      </c>
      <c r="Q132" s="12">
        <f t="shared" si="18"/>
        <v>219570313.60002425</v>
      </c>
      <c r="R132" s="12">
        <f t="shared" si="19"/>
        <v>777644.86066675268</v>
      </c>
      <c r="S132" s="12">
        <f t="shared" si="20"/>
        <v>218792668.7393575</v>
      </c>
      <c r="T132" s="12"/>
      <c r="U132" t="b">
        <f t="shared" si="21"/>
        <v>1</v>
      </c>
      <c r="V132" s="12">
        <f>IF($U132=TRUE, $Q132*$C$7, $J132)</f>
        <v>65871094.08000727</v>
      </c>
      <c r="W132" s="12">
        <f>IF($U132=TRUE, $Q132*$C$8, $K132)</f>
        <v>32935547.040003635</v>
      </c>
      <c r="X132" s="12">
        <f>IF($U132=TRUE, $Q132*$C$9, $L132)</f>
        <v>10978515.680001214</v>
      </c>
      <c r="Y132" s="12">
        <f>IF($U132=TRUE, $Q132*$C$10, $M132)</f>
        <v>43914062.720004857</v>
      </c>
      <c r="Z132" s="12">
        <f>IF($U132=TRUE, $Q132*$C$11, $N132)</f>
        <v>21957031.360002428</v>
      </c>
      <c r="AA132" s="12">
        <f>IF($U132=TRUE, $Q132*$C$12, $O132)</f>
        <v>21957031.360002428</v>
      </c>
      <c r="AB132" s="12">
        <f>IF($U132=TRUE, $Q132*$C$13, $P132)</f>
        <v>21957031.360002428</v>
      </c>
      <c r="AC132" s="12">
        <f>V132-(1-$B$3)</f>
        <v>65871093.083548933</v>
      </c>
      <c r="AD132" s="12">
        <f t="shared" si="22"/>
        <v>32818900.310903624</v>
      </c>
      <c r="AE132" s="12">
        <f t="shared" si="23"/>
        <v>10939633.436967876</v>
      </c>
      <c r="AF132" s="12">
        <f t="shared" si="24"/>
        <v>43758533.747871503</v>
      </c>
      <c r="AG132" s="12">
        <f t="shared" si="25"/>
        <v>21879266.873935752</v>
      </c>
      <c r="AH132" s="12">
        <f t="shared" si="26"/>
        <v>21879266.873935752</v>
      </c>
      <c r="AI132" s="12">
        <f t="shared" si="27"/>
        <v>21879266.873935752</v>
      </c>
      <c r="AJ132" s="12">
        <f t="shared" si="28"/>
        <v>219025961.20109922</v>
      </c>
      <c r="AK132" s="12" t="b">
        <f t="shared" si="29"/>
        <v>1</v>
      </c>
    </row>
    <row r="133" spans="1:37" x14ac:dyDescent="0.2">
      <c r="A133" s="1">
        <f>Returns!A120</f>
        <v>46022</v>
      </c>
      <c r="B133" s="20">
        <f t="shared" si="30"/>
        <v>218792668.7393575</v>
      </c>
      <c r="C133" s="18">
        <f t="shared" si="31"/>
        <v>0.53072005608364903</v>
      </c>
      <c r="D133" s="18">
        <f t="shared" si="34"/>
        <v>0.1384165591417294</v>
      </c>
      <c r="E133" s="18">
        <f t="shared" si="34"/>
        <v>4.433071731496685E-2</v>
      </c>
      <c r="F133" s="18">
        <f t="shared" si="34"/>
        <v>8.7563494567464289E-2</v>
      </c>
      <c r="G133" s="18">
        <f t="shared" si="33"/>
        <v>4.9882115779409965E-2</v>
      </c>
      <c r="H133" s="18">
        <f t="shared" si="32"/>
        <v>6.2211773471338175E-2</v>
      </c>
      <c r="I133" s="18">
        <f t="shared" si="32"/>
        <v>8.6875283641442244E-2</v>
      </c>
      <c r="J133" s="12">
        <f>J132*(1+Returns!B120)</f>
        <v>115834890.43655506</v>
      </c>
      <c r="K133" s="12">
        <f>K132*(1+Returns!C120)</f>
        <v>30210780.201342277</v>
      </c>
      <c r="L133" s="12">
        <f>L132*(1+Returns!D120)</f>
        <v>9675616.5972814169</v>
      </c>
      <c r="M133" s="12">
        <f>M132*(1+Returns!E120)</f>
        <v>19111596.93928251</v>
      </c>
      <c r="N133" s="12">
        <f>N132*(1+Returns!F120)</f>
        <v>10887264.104337519</v>
      </c>
      <c r="O133" s="12">
        <f>O132*(1+Returns!G120)</f>
        <v>13578333.589074736</v>
      </c>
      <c r="P133" s="12">
        <f>P132*(1+Returns!H120)</f>
        <v>18961388.112050176</v>
      </c>
      <c r="Q133" s="12">
        <f t="shared" si="18"/>
        <v>218259869.9799237</v>
      </c>
      <c r="R133" s="12">
        <f t="shared" si="19"/>
        <v>773003.70617889648</v>
      </c>
      <c r="S133" s="12">
        <f t="shared" si="20"/>
        <v>217486866.27374479</v>
      </c>
      <c r="T133" s="12"/>
      <c r="U133" t="b">
        <f t="shared" si="21"/>
        <v>1</v>
      </c>
      <c r="V133" s="12">
        <f>IF($U133=TRUE, $Q133*$C$7, $J133)</f>
        <v>65477960.993977107</v>
      </c>
      <c r="W133" s="12">
        <f>IF($U133=TRUE, $Q133*$C$8, $K133)</f>
        <v>32738980.496988554</v>
      </c>
      <c r="X133" s="12">
        <f>IF($U133=TRUE, $Q133*$C$9, $L133)</f>
        <v>10912993.498996185</v>
      </c>
      <c r="Y133" s="12">
        <f>IF($U133=TRUE, $Q133*$C$10, $M133)</f>
        <v>43651973.995984741</v>
      </c>
      <c r="Z133" s="12">
        <f>IF($U133=TRUE, $Q133*$C$11, $N133)</f>
        <v>21825986.99799237</v>
      </c>
      <c r="AA133" s="12">
        <f>IF($U133=TRUE, $Q133*$C$12, $O133)</f>
        <v>21825986.99799237</v>
      </c>
      <c r="AB133" s="12">
        <f>IF($U133=TRUE, $Q133*$C$13, $P133)</f>
        <v>21825986.99799237</v>
      </c>
      <c r="AC133" s="12">
        <f>V133-(1-$B$3)</f>
        <v>65477959.99751877</v>
      </c>
      <c r="AD133" s="12">
        <f t="shared" si="22"/>
        <v>32623029.94106172</v>
      </c>
      <c r="AE133" s="12">
        <f t="shared" si="23"/>
        <v>10874343.313687241</v>
      </c>
      <c r="AF133" s="12">
        <f t="shared" si="24"/>
        <v>43497373.254748963</v>
      </c>
      <c r="AG133" s="12">
        <f t="shared" si="25"/>
        <v>21748686.627374481</v>
      </c>
      <c r="AH133" s="12">
        <f t="shared" si="26"/>
        <v>21748686.627374481</v>
      </c>
      <c r="AI133" s="12">
        <f t="shared" si="27"/>
        <v>21748686.627374481</v>
      </c>
      <c r="AJ133" s="12">
        <f t="shared" si="28"/>
        <v>217718766.3891401</v>
      </c>
      <c r="AK133" s="12" t="b">
        <f t="shared" si="29"/>
        <v>1</v>
      </c>
    </row>
    <row r="134" spans="1:37" x14ac:dyDescent="0.2">
      <c r="A134" s="1">
        <f>Returns!A121</f>
        <v>46053</v>
      </c>
      <c r="B134" s="20">
        <f t="shared" si="30"/>
        <v>217486866.27374479</v>
      </c>
      <c r="C134" s="18">
        <f t="shared" si="31"/>
        <v>0.52587766017730497</v>
      </c>
      <c r="D134" s="18">
        <f t="shared" si="34"/>
        <v>0.14179092977024951</v>
      </c>
      <c r="E134" s="18">
        <f t="shared" si="34"/>
        <v>4.6761766441154214E-2</v>
      </c>
      <c r="F134" s="18">
        <f t="shared" si="34"/>
        <v>8.530877949585744E-2</v>
      </c>
      <c r="G134" s="18">
        <f t="shared" si="33"/>
        <v>4.8877093922320217E-2</v>
      </c>
      <c r="H134" s="18">
        <f t="shared" si="32"/>
        <v>6.2334663448057055E-2</v>
      </c>
      <c r="I134" s="18">
        <f t="shared" si="32"/>
        <v>8.9049106745056547E-2</v>
      </c>
      <c r="J134" s="12">
        <f>J133*(1+Returns!B121)</f>
        <v>117542041.78698821</v>
      </c>
      <c r="K134" s="12">
        <f>K133*(1+Returns!C121)</f>
        <v>31692533.557046972</v>
      </c>
      <c r="L134" s="12">
        <f>L133*(1+Returns!D121)</f>
        <v>10452000.382002043</v>
      </c>
      <c r="M134" s="12">
        <f>M133*(1+Returns!E121)</f>
        <v>19067872.4038557</v>
      </c>
      <c r="N134" s="12">
        <f>N133*(1+Returns!F121)</f>
        <v>10924809.801403025</v>
      </c>
      <c r="O134" s="12">
        <f>O133*(1+Returns!G121)</f>
        <v>13932791.161577422</v>
      </c>
      <c r="P134" s="12">
        <f>P133*(1+Returns!H121)</f>
        <v>19903895.180853188</v>
      </c>
      <c r="Q134" s="12">
        <f t="shared" si="18"/>
        <v>223515944.27372658</v>
      </c>
      <c r="R134" s="12">
        <f t="shared" si="19"/>
        <v>791618.96930278174</v>
      </c>
      <c r="S134" s="12">
        <f t="shared" si="20"/>
        <v>222724325.30442381</v>
      </c>
      <c r="T134" s="12"/>
      <c r="U134" t="b">
        <f t="shared" si="21"/>
        <v>1</v>
      </c>
      <c r="V134" s="12">
        <f>IF($U134=TRUE, $Q134*$C$7, $J134)</f>
        <v>67054783.28211797</v>
      </c>
      <c r="W134" s="12">
        <f>IF($U134=TRUE, $Q134*$C$8, $K134)</f>
        <v>33527391.641058985</v>
      </c>
      <c r="X134" s="12">
        <f>IF($U134=TRUE, $Q134*$C$9, $L134)</f>
        <v>11175797.21368633</v>
      </c>
      <c r="Y134" s="12">
        <f>IF($U134=TRUE, $Q134*$C$10, $M134)</f>
        <v>44703188.854745321</v>
      </c>
      <c r="Z134" s="12">
        <f>IF($U134=TRUE, $Q134*$C$11, $N134)</f>
        <v>22351594.42737266</v>
      </c>
      <c r="AA134" s="12">
        <f>IF($U134=TRUE, $Q134*$C$12, $O134)</f>
        <v>22351594.42737266</v>
      </c>
      <c r="AB134" s="12">
        <f>IF($U134=TRUE, $Q134*$C$13, $P134)</f>
        <v>22351594.42737266</v>
      </c>
      <c r="AC134" s="12">
        <f>V134-(1-$B$3)</f>
        <v>67054782.285659634</v>
      </c>
      <c r="AD134" s="12">
        <f t="shared" si="22"/>
        <v>33408648.795663569</v>
      </c>
      <c r="AE134" s="12">
        <f t="shared" si="23"/>
        <v>11136216.265221192</v>
      </c>
      <c r="AF134" s="12">
        <f t="shared" si="24"/>
        <v>44544865.060884766</v>
      </c>
      <c r="AG134" s="12">
        <f t="shared" si="25"/>
        <v>22272432.530442383</v>
      </c>
      <c r="AH134" s="12">
        <f t="shared" si="26"/>
        <v>22272432.530442383</v>
      </c>
      <c r="AI134" s="12">
        <f t="shared" si="27"/>
        <v>22272432.530442383</v>
      </c>
      <c r="AJ134" s="12">
        <f t="shared" si="28"/>
        <v>222961809.99875632</v>
      </c>
      <c r="AK134" s="12" t="b">
        <f t="shared" si="29"/>
        <v>1</v>
      </c>
    </row>
    <row r="135" spans="1:37" x14ac:dyDescent="0.2">
      <c r="A135" s="1">
        <f>Returns!A122</f>
        <v>46081</v>
      </c>
      <c r="B135" s="20">
        <f t="shared" si="30"/>
        <v>222724325.30442381</v>
      </c>
      <c r="C135" s="18">
        <f t="shared" si="31"/>
        <v>0.51378407744900501</v>
      </c>
      <c r="D135" s="18">
        <f t="shared" si="34"/>
        <v>0.14549407761917177</v>
      </c>
      <c r="E135" s="18">
        <f t="shared" si="34"/>
        <v>4.7956908860198717E-2</v>
      </c>
      <c r="F135" s="18">
        <f t="shared" si="34"/>
        <v>8.5735109978581289E-2</v>
      </c>
      <c r="G135" s="18">
        <f t="shared" si="33"/>
        <v>4.8912384206993703E-2</v>
      </c>
      <c r="H135" s="18">
        <f t="shared" si="32"/>
        <v>6.4395186456206566E-2</v>
      </c>
      <c r="I135" s="18">
        <f t="shared" si="32"/>
        <v>9.3722255429842929E-2</v>
      </c>
      <c r="J135" s="12">
        <f>J134*(1+Returns!B122)</f>
        <v>115804314.59147267</v>
      </c>
      <c r="K135" s="12">
        <f>K134*(1+Returns!C122)</f>
        <v>32793624.161073819</v>
      </c>
      <c r="L135" s="12">
        <f>L134*(1+Returns!D122)</f>
        <v>10809243.034652535</v>
      </c>
      <c r="M135" s="12">
        <f>M134*(1+Returns!E122)</f>
        <v>19324257.17976746</v>
      </c>
      <c r="N135" s="12">
        <f>N134*(1+Returns!F122)</f>
        <v>11024602.312024506</v>
      </c>
      <c r="O135" s="12">
        <f>O134*(1+Returns!G122)</f>
        <v>14514347.092220359</v>
      </c>
      <c r="P135" s="12">
        <f>P134*(1+Returns!H122)</f>
        <v>21124519.089630865</v>
      </c>
      <c r="Q135" s="12">
        <f t="shared" si="18"/>
        <v>225394907.46084222</v>
      </c>
      <c r="R135" s="12">
        <f t="shared" si="19"/>
        <v>798273.63059048296</v>
      </c>
      <c r="S135" s="12">
        <f t="shared" si="20"/>
        <v>224596633.83025175</v>
      </c>
      <c r="T135" s="12"/>
      <c r="U135" t="b">
        <f t="shared" si="21"/>
        <v>1</v>
      </c>
      <c r="V135" s="12">
        <f>IF($U135=TRUE, $Q135*$C$7, $J135)</f>
        <v>67618472.23825267</v>
      </c>
      <c r="W135" s="12">
        <f>IF($U135=TRUE, $Q135*$C$8, $K135)</f>
        <v>33809236.119126335</v>
      </c>
      <c r="X135" s="12">
        <f>IF($U135=TRUE, $Q135*$C$9, $L135)</f>
        <v>11269745.373042112</v>
      </c>
      <c r="Y135" s="12">
        <f>IF($U135=TRUE, $Q135*$C$10, $M135)</f>
        <v>45078981.492168449</v>
      </c>
      <c r="Z135" s="12">
        <f>IF($U135=TRUE, $Q135*$C$11, $N135)</f>
        <v>22539490.746084224</v>
      </c>
      <c r="AA135" s="12">
        <f>IF($U135=TRUE, $Q135*$C$12, $O135)</f>
        <v>22539490.746084224</v>
      </c>
      <c r="AB135" s="12">
        <f>IF($U135=TRUE, $Q135*$C$13, $P135)</f>
        <v>22539490.746084224</v>
      </c>
      <c r="AC135" s="12">
        <f>V135-(1-$B$3)</f>
        <v>67618471.241794333</v>
      </c>
      <c r="AD135" s="12">
        <f t="shared" si="22"/>
        <v>33689495.074537762</v>
      </c>
      <c r="AE135" s="12">
        <f t="shared" si="23"/>
        <v>11229831.691512588</v>
      </c>
      <c r="AF135" s="12">
        <f t="shared" si="24"/>
        <v>44919326.766050354</v>
      </c>
      <c r="AG135" s="12">
        <f t="shared" si="25"/>
        <v>22459663.383025177</v>
      </c>
      <c r="AH135" s="12">
        <f t="shared" si="26"/>
        <v>22459663.383025177</v>
      </c>
      <c r="AI135" s="12">
        <f t="shared" si="27"/>
        <v>22459663.383025177</v>
      </c>
      <c r="AJ135" s="12">
        <f t="shared" si="28"/>
        <v>224836114.92297053</v>
      </c>
      <c r="AK135" s="12" t="b">
        <f t="shared" si="29"/>
        <v>1</v>
      </c>
    </row>
    <row r="136" spans="1:37" x14ac:dyDescent="0.2">
      <c r="A136" s="1"/>
    </row>
    <row r="137" spans="1:37" x14ac:dyDescent="0.2">
      <c r="A137" s="1"/>
    </row>
    <row r="138" spans="1:37" x14ac:dyDescent="0.2">
      <c r="A138" s="1"/>
    </row>
    <row r="139" spans="1:37" x14ac:dyDescent="0.2">
      <c r="A139" s="1"/>
    </row>
    <row r="140" spans="1:37" x14ac:dyDescent="0.2">
      <c r="A140" s="1"/>
    </row>
    <row r="141" spans="1:37" x14ac:dyDescent="0.2">
      <c r="A141" s="1"/>
    </row>
    <row r="142" spans="1:37" x14ac:dyDescent="0.2">
      <c r="A142" s="1"/>
    </row>
    <row r="143" spans="1:37" x14ac:dyDescent="0.2">
      <c r="A143" s="1"/>
    </row>
    <row r="144" spans="1:37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2D57-E95E-2F4D-91E2-7BACE3B526BF}">
  <dimension ref="A1:AI188"/>
  <sheetViews>
    <sheetView topLeftCell="C1" zoomScale="62" workbookViewId="0">
      <selection activeCell="B22" sqref="B22"/>
    </sheetView>
  </sheetViews>
  <sheetFormatPr baseColWidth="10" defaultRowHeight="16" x14ac:dyDescent="0.2"/>
  <cols>
    <col min="1" max="1" width="23.5" bestFit="1" customWidth="1"/>
    <col min="2" max="2" width="15.6640625" bestFit="1" customWidth="1"/>
    <col min="3" max="3" width="22.5" bestFit="1" customWidth="1"/>
    <col min="4" max="4" width="10.1640625" bestFit="1" customWidth="1"/>
    <col min="10" max="11" width="16.33203125" bestFit="1" customWidth="1"/>
    <col min="12" max="12" width="15.1640625" bestFit="1" customWidth="1"/>
    <col min="13" max="16" width="16.33203125" bestFit="1" customWidth="1"/>
    <col min="17" max="17" width="16.1640625" bestFit="1" customWidth="1"/>
    <col min="18" max="18" width="12.33203125" bestFit="1" customWidth="1"/>
    <col min="19" max="19" width="16.1640625" bestFit="1" customWidth="1"/>
    <col min="21" max="21" width="18.33203125" bestFit="1" customWidth="1"/>
    <col min="22" max="22" width="9.33203125" bestFit="1" customWidth="1"/>
    <col min="23" max="23" width="8.6640625" bestFit="1" customWidth="1"/>
    <col min="24" max="24" width="9.33203125" bestFit="1" customWidth="1"/>
  </cols>
  <sheetData>
    <row r="1" spans="1:35" x14ac:dyDescent="0.2">
      <c r="A1" s="15" t="s">
        <v>66</v>
      </c>
      <c r="B1" s="12">
        <v>100000000</v>
      </c>
    </row>
    <row r="2" spans="1:35" x14ac:dyDescent="0.2">
      <c r="A2" s="15" t="s">
        <v>43</v>
      </c>
      <c r="B2" s="10">
        <v>4.2500000000000003E-2</v>
      </c>
    </row>
    <row r="3" spans="1:35" x14ac:dyDescent="0.2">
      <c r="A3" s="15" t="s">
        <v>44</v>
      </c>
      <c r="B3" s="16">
        <f>B2/12</f>
        <v>3.5416666666666669E-3</v>
      </c>
    </row>
    <row r="5" spans="1:35" x14ac:dyDescent="0.2">
      <c r="A5" t="s">
        <v>55</v>
      </c>
    </row>
    <row r="6" spans="1:35" x14ac:dyDescent="0.2">
      <c r="A6" s="25" t="s">
        <v>9</v>
      </c>
      <c r="B6" s="25" t="s">
        <v>26</v>
      </c>
      <c r="C6" s="25" t="s">
        <v>27</v>
      </c>
      <c r="D6" s="25" t="s">
        <v>63</v>
      </c>
      <c r="E6" s="25" t="s">
        <v>64</v>
      </c>
    </row>
    <row r="7" spans="1:35" x14ac:dyDescent="0.2">
      <c r="A7" s="22" t="s">
        <v>28</v>
      </c>
      <c r="B7" s="23" t="s">
        <v>2</v>
      </c>
      <c r="C7" s="24">
        <v>0.3</v>
      </c>
      <c r="D7" s="21">
        <v>0.25</v>
      </c>
      <c r="E7" s="21">
        <v>0.35</v>
      </c>
    </row>
    <row r="8" spans="1:35" x14ac:dyDescent="0.2">
      <c r="A8" s="22" t="s">
        <v>14</v>
      </c>
      <c r="B8" s="23" t="s">
        <v>3</v>
      </c>
      <c r="C8" s="24">
        <v>0.15</v>
      </c>
      <c r="D8" s="21">
        <v>0.1</v>
      </c>
      <c r="E8" s="21">
        <v>0.2</v>
      </c>
    </row>
    <row r="9" spans="1:35" x14ac:dyDescent="0.2">
      <c r="A9" s="22" t="s">
        <v>29</v>
      </c>
      <c r="B9" s="23" t="s">
        <v>4</v>
      </c>
      <c r="C9" s="24">
        <v>0.05</v>
      </c>
      <c r="D9" s="21">
        <v>0.02</v>
      </c>
      <c r="E9" s="21">
        <v>7.0000000000000007E-2</v>
      </c>
    </row>
    <row r="10" spans="1:35" x14ac:dyDescent="0.2">
      <c r="A10" s="22" t="s">
        <v>30</v>
      </c>
      <c r="B10" s="23" t="s">
        <v>5</v>
      </c>
      <c r="C10" s="24">
        <v>0.2</v>
      </c>
      <c r="D10" s="21">
        <v>0.15</v>
      </c>
      <c r="E10" s="21">
        <v>0.25</v>
      </c>
    </row>
    <row r="11" spans="1:35" x14ac:dyDescent="0.2">
      <c r="A11" s="22" t="s">
        <v>31</v>
      </c>
      <c r="B11" s="23" t="s">
        <v>6</v>
      </c>
      <c r="C11" s="24">
        <v>0.1</v>
      </c>
      <c r="D11" s="21">
        <v>0.05</v>
      </c>
      <c r="E11" s="21">
        <v>0.15</v>
      </c>
    </row>
    <row r="12" spans="1:35" x14ac:dyDescent="0.2">
      <c r="A12" s="22" t="s">
        <v>32</v>
      </c>
      <c r="B12" s="23" t="s">
        <v>7</v>
      </c>
      <c r="C12" s="24">
        <v>0.1</v>
      </c>
      <c r="D12" s="21">
        <v>0.05</v>
      </c>
      <c r="E12" s="21">
        <v>0.15</v>
      </c>
    </row>
    <row r="13" spans="1:35" x14ac:dyDescent="0.2">
      <c r="A13" s="22" t="s">
        <v>24</v>
      </c>
      <c r="B13" s="23" t="s">
        <v>8</v>
      </c>
      <c r="C13" s="24">
        <v>0.1</v>
      </c>
      <c r="D13" s="21">
        <v>0.05</v>
      </c>
      <c r="E13" s="21">
        <v>0.15</v>
      </c>
    </row>
    <row r="15" spans="1:35" x14ac:dyDescent="0.2">
      <c r="A15" s="17" t="s">
        <v>42</v>
      </c>
      <c r="B15" s="2" t="s">
        <v>67</v>
      </c>
      <c r="C15" s="2" t="s">
        <v>45</v>
      </c>
      <c r="D15" s="2" t="s">
        <v>46</v>
      </c>
      <c r="E15" s="2" t="s">
        <v>47</v>
      </c>
      <c r="F15" s="2" t="s">
        <v>48</v>
      </c>
      <c r="G15" s="2" t="s">
        <v>49</v>
      </c>
      <c r="H15" s="2" t="s">
        <v>50</v>
      </c>
      <c r="I15" s="2" t="s">
        <v>51</v>
      </c>
      <c r="J15" s="19" t="s">
        <v>56</v>
      </c>
      <c r="K15" s="2" t="s">
        <v>57</v>
      </c>
      <c r="L15" s="2" t="s">
        <v>58</v>
      </c>
      <c r="M15" s="2" t="s">
        <v>59</v>
      </c>
      <c r="N15" s="2" t="s">
        <v>60</v>
      </c>
      <c r="O15" s="2" t="s">
        <v>61</v>
      </c>
      <c r="P15" s="2" t="s">
        <v>62</v>
      </c>
      <c r="Q15" s="2" t="s">
        <v>52</v>
      </c>
      <c r="R15" s="2" t="s">
        <v>53</v>
      </c>
      <c r="S15" s="2" t="s">
        <v>54</v>
      </c>
      <c r="T15" s="2" t="s">
        <v>65</v>
      </c>
      <c r="U15" s="15" t="s">
        <v>70</v>
      </c>
      <c r="V15" s="2" t="s">
        <v>71</v>
      </c>
      <c r="W15" s="2" t="s">
        <v>72</v>
      </c>
      <c r="X15" s="2" t="s">
        <v>73</v>
      </c>
      <c r="Y15" s="2" t="s">
        <v>74</v>
      </c>
      <c r="Z15" s="2" t="s">
        <v>75</v>
      </c>
      <c r="AA15" s="2" t="s">
        <v>76</v>
      </c>
      <c r="AB15" s="2" t="s">
        <v>77</v>
      </c>
      <c r="AC15" s="2" t="s">
        <v>78</v>
      </c>
      <c r="AD15" s="2" t="s">
        <v>79</v>
      </c>
      <c r="AE15" s="2" t="s">
        <v>80</v>
      </c>
      <c r="AF15" s="2" t="s">
        <v>81</v>
      </c>
      <c r="AG15" s="2" t="s">
        <v>82</v>
      </c>
      <c r="AH15" s="2" t="s">
        <v>83</v>
      </c>
      <c r="AI15" s="2" t="s">
        <v>54</v>
      </c>
    </row>
    <row r="16" spans="1:35" x14ac:dyDescent="0.2">
      <c r="A16" s="1">
        <f>Returns!A3</f>
        <v>42460</v>
      </c>
      <c r="B16" s="12">
        <f>B1</f>
        <v>100000000</v>
      </c>
      <c r="C16" s="10">
        <v>0.3</v>
      </c>
      <c r="D16" s="10">
        <v>0.15</v>
      </c>
      <c r="E16" s="10">
        <v>0.05</v>
      </c>
      <c r="F16" s="10">
        <v>0.2</v>
      </c>
      <c r="G16" s="10">
        <v>0.1</v>
      </c>
      <c r="H16" s="10">
        <v>0.1</v>
      </c>
      <c r="I16" s="10">
        <v>0.1</v>
      </c>
      <c r="J16" s="12">
        <f>C16*$B16</f>
        <v>30000000</v>
      </c>
      <c r="K16" s="12">
        <f>D16*$B16</f>
        <v>15000000</v>
      </c>
      <c r="L16" s="12">
        <f>E16*$B16</f>
        <v>5000000</v>
      </c>
      <c r="M16" s="12">
        <f t="shared" ref="M16:P16" si="0">F16*$B16</f>
        <v>20000000</v>
      </c>
      <c r="N16" s="12">
        <f t="shared" si="0"/>
        <v>10000000</v>
      </c>
      <c r="O16" s="12">
        <f t="shared" si="0"/>
        <v>10000000</v>
      </c>
      <c r="P16" s="12">
        <f t="shared" si="0"/>
        <v>10000000</v>
      </c>
      <c r="Q16" s="12">
        <f>SUM(J16:P16)</f>
        <v>100000000</v>
      </c>
      <c r="R16" s="12">
        <f>Q16*$B$3</f>
        <v>354166.66666666669</v>
      </c>
      <c r="S16" s="12">
        <f>Q16-R16</f>
        <v>99645833.333333328</v>
      </c>
      <c r="T16" t="b">
        <f>OR(
  C16&lt;25%,C16&gt;35%,
  D16&lt;10%,D16&gt;20%,
  E16&lt;2%, E16&gt;7%,
  F16&lt;15%,F16&gt;25%,
  G16&lt;5%, G16&gt;15%,
  H16&lt;5%, H16&gt;15%,
  I16&lt;5%, I16&gt;15%
)</f>
        <v>0</v>
      </c>
      <c r="U16" s="12">
        <f>IF($T16=TRUE, $Q16*$C$7, $J16)</f>
        <v>30000000</v>
      </c>
      <c r="V16" s="12">
        <f>IF($T16=TRUE, $Q16*$C$8, $K16)</f>
        <v>15000000</v>
      </c>
      <c r="W16" s="12">
        <f>IF($T16=TRUE, $Q16*$C$9, $L16)</f>
        <v>5000000</v>
      </c>
      <c r="X16" s="12">
        <f>IF($T16=TRUE, $Q16*$C$10, $M16)</f>
        <v>20000000</v>
      </c>
      <c r="Y16" s="12">
        <f>IF($T16=TRUE, $Q16*$C$11, $N16)</f>
        <v>10000000</v>
      </c>
      <c r="Z16" s="12">
        <f>IF($T16=TRUE, $Q16*$C$12, $O16)</f>
        <v>10000000</v>
      </c>
      <c r="AA16" s="12">
        <f>IF($T16=TRUE, $Q16*$C$13, $P16)</f>
        <v>10000000</v>
      </c>
      <c r="AB16" s="12">
        <f>U16*(1-$B$3)</f>
        <v>29893750</v>
      </c>
      <c r="AC16" s="12">
        <f>V16*(1-$B$3)</f>
        <v>14946875</v>
      </c>
      <c r="AD16" s="12">
        <f>W16*(1-$B$3)</f>
        <v>4982291.666666667</v>
      </c>
      <c r="AE16" s="12">
        <f>X16*(1-$B$3)</f>
        <v>19929166.666666668</v>
      </c>
      <c r="AF16" s="12">
        <f>Y16*(1-$B$3)</f>
        <v>9964583.333333334</v>
      </c>
      <c r="AG16" s="12">
        <f>Z16*(1-$B$3)</f>
        <v>9964583.333333334</v>
      </c>
      <c r="AH16" s="12">
        <f>AA16*(1-$B$3)</f>
        <v>9964583.333333334</v>
      </c>
      <c r="AI16" s="12">
        <f>SUM(AB16:AH16)</f>
        <v>99645833.333333313</v>
      </c>
    </row>
    <row r="17" spans="1:35" x14ac:dyDescent="0.2">
      <c r="A17" s="1">
        <f>Returns!A4</f>
        <v>42490</v>
      </c>
      <c r="B17" s="20">
        <f>S16</f>
        <v>99645833.333333328</v>
      </c>
      <c r="C17" s="18">
        <f>J17/$Q17</f>
        <v>0.29938357956236905</v>
      </c>
      <c r="D17" s="18">
        <f t="shared" ref="D17:I32" si="1">K17/$Q17</f>
        <v>0.15244135718304616</v>
      </c>
      <c r="E17" s="18">
        <f t="shared" si="1"/>
        <v>4.9940418854195569E-2</v>
      </c>
      <c r="F17" s="18">
        <f t="shared" si="1"/>
        <v>0.19849883685118272</v>
      </c>
      <c r="G17" s="18">
        <f t="shared" si="1"/>
        <v>0.10099885356227253</v>
      </c>
      <c r="H17" s="18">
        <f>O17/$Q17</f>
        <v>9.7083342303367418E-2</v>
      </c>
      <c r="I17" s="18">
        <f t="shared" si="1"/>
        <v>0.10165361168356643</v>
      </c>
      <c r="J17" s="12">
        <f>J16*(1+Returns!B4)</f>
        <v>30113810.090028871</v>
      </c>
      <c r="K17" s="12">
        <f>K16*(1+Returns!C4)</f>
        <v>15333473.154362418</v>
      </c>
      <c r="L17" s="12">
        <f>L16*(1+Returns!D4)</f>
        <v>5023309.1988214524</v>
      </c>
      <c r="M17" s="12">
        <f>M16*(1+Returns!E4)</f>
        <v>19966212.858988371</v>
      </c>
      <c r="N17" s="12">
        <f>N16*(1+Returns!F4)</f>
        <v>10159075.190198597</v>
      </c>
      <c r="O17" s="12">
        <f>O16*(1+Returns!G4)</f>
        <v>9765229.4000306875</v>
      </c>
      <c r="P17" s="12">
        <f>P16*(1+Returns!H4)</f>
        <v>10224934.719797283</v>
      </c>
      <c r="Q17" s="12">
        <f t="shared" ref="Q17:Q80" si="2">SUM(J17:P17)</f>
        <v>100586044.61222769</v>
      </c>
      <c r="R17" s="12">
        <f t="shared" ref="R17:R80" si="3">Q17*$B$3</f>
        <v>356242.24133497308</v>
      </c>
      <c r="S17" s="12">
        <f t="shared" ref="S17:S80" si="4">Q17-R17</f>
        <v>100229802.37089272</v>
      </c>
      <c r="T17" t="b">
        <f t="shared" ref="T17:T80" si="5">OR(
  C17&lt;25%,C17&gt;35%,
  D17&lt;10%,D17&gt;20%,
  E17&lt;2%, E17&gt;7%,
  F17&lt;15%,F17&gt;25%,
  G17&lt;5%, G17&gt;15%,
  H17&lt;5%, H17&gt;15%,
  I17&lt;5%, I17&gt;15%
)</f>
        <v>0</v>
      </c>
      <c r="U17" s="12">
        <f t="shared" ref="U17:U80" si="6">IF($T17=TRUE, $Q17*$C$7, $J17)</f>
        <v>30113810.090028871</v>
      </c>
      <c r="V17" s="12">
        <f>IF($T17=TRUE, $Q17*$C$8, $K17)</f>
        <v>15333473.154362418</v>
      </c>
      <c r="W17" s="12">
        <f>IF($T17=TRUE, $Q17*$C$9, $L17)</f>
        <v>5023309.1988214524</v>
      </c>
      <c r="X17" s="12">
        <f>IF($T17=TRUE, $Q17*$C$10, $M17)</f>
        <v>19966212.858988371</v>
      </c>
      <c r="Y17" s="12">
        <f>IF($T17=TRUE, $Q17*$C$11, $N17)</f>
        <v>10159075.190198597</v>
      </c>
      <c r="Z17" s="12">
        <f>IF($T17=TRUE, $Q17*$C$12, $O17)</f>
        <v>9765229.4000306875</v>
      </c>
      <c r="AA17" s="12">
        <f>IF($T17=TRUE, $Q17*$C$13, $P17)</f>
        <v>10224934.719797283</v>
      </c>
      <c r="AB17" s="12">
        <f>U17*(1-$B$3)</f>
        <v>30007157.012626685</v>
      </c>
      <c r="AC17" s="12">
        <f t="shared" ref="AC17:AH59" si="7">V17*(1-$B$3)</f>
        <v>15279167.103607384</v>
      </c>
      <c r="AD17" s="12">
        <f t="shared" si="7"/>
        <v>5005518.3120756261</v>
      </c>
      <c r="AE17" s="12">
        <f t="shared" si="7"/>
        <v>19895499.188446119</v>
      </c>
      <c r="AF17" s="12">
        <f t="shared" si="7"/>
        <v>10123095.13223331</v>
      </c>
      <c r="AG17" s="12">
        <f t="shared" si="7"/>
        <v>9730644.2125722449</v>
      </c>
      <c r="AH17" s="12">
        <f t="shared" si="7"/>
        <v>10188721.409331335</v>
      </c>
      <c r="AI17" s="12">
        <f t="shared" ref="AI17:AI80" si="8">SUM(AB17:AH17)</f>
        <v>100229802.3708927</v>
      </c>
    </row>
    <row r="18" spans="1:35" x14ac:dyDescent="0.2">
      <c r="A18" s="1">
        <f>Returns!A5</f>
        <v>42521</v>
      </c>
      <c r="B18" s="20">
        <f t="shared" ref="B18:B81" si="9">S17</f>
        <v>100229802.37089272</v>
      </c>
      <c r="C18" s="18">
        <f t="shared" ref="C18:C81" si="10">J18/Q18</f>
        <v>0.30320756281240435</v>
      </c>
      <c r="D18" s="18">
        <f t="shared" si="1"/>
        <v>0.15166948969167598</v>
      </c>
      <c r="E18" s="18">
        <f t="shared" si="1"/>
        <v>4.7862054681258787E-2</v>
      </c>
      <c r="F18" s="18">
        <f t="shared" si="1"/>
        <v>0.19749857494824102</v>
      </c>
      <c r="G18" s="18">
        <f t="shared" si="1"/>
        <v>0.10007115487544503</v>
      </c>
      <c r="H18" s="18">
        <f t="shared" si="1"/>
        <v>9.884332306297676E-2</v>
      </c>
      <c r="I18" s="18">
        <f t="shared" si="1"/>
        <v>0.1008478399279982</v>
      </c>
      <c r="J18" s="12">
        <f>J17*(1+Returns!B5)</f>
        <v>30628503.482249018</v>
      </c>
      <c r="K18" s="12">
        <f>K17*(1+Returns!C5)</f>
        <v>15320889.261744969</v>
      </c>
      <c r="L18" s="12">
        <f>L17*(1+Returns!D5)</f>
        <v>4834784.1157890642</v>
      </c>
      <c r="M18" s="12">
        <f>M17*(1+Returns!E5)</f>
        <v>19950313.027924076</v>
      </c>
      <c r="N18" s="12">
        <f>N17*(1+Returns!F5)</f>
        <v>10108684.912558049</v>
      </c>
      <c r="O18" s="12">
        <f>O17*(1+Returns!G5)</f>
        <v>9984655.5163418725</v>
      </c>
      <c r="P18" s="12">
        <f>P17*(1+Returns!H5)</f>
        <v>10187141.731431836</v>
      </c>
      <c r="Q18" s="12">
        <f t="shared" si="2"/>
        <v>101014972.04803887</v>
      </c>
      <c r="R18" s="12">
        <f t="shared" si="3"/>
        <v>357761.35933680437</v>
      </c>
      <c r="S18" s="12">
        <f t="shared" si="4"/>
        <v>100657210.68870206</v>
      </c>
      <c r="T18" t="b">
        <f t="shared" si="5"/>
        <v>0</v>
      </c>
      <c r="U18" s="12">
        <f t="shared" si="6"/>
        <v>30628503.482249018</v>
      </c>
      <c r="V18" s="12">
        <f>IF($T18=TRUE, $Q18*$C$8, $K18)</f>
        <v>15320889.261744969</v>
      </c>
      <c r="W18" s="12">
        <f>IF($T18=TRUE, $Q18*$C$9, $L18)</f>
        <v>4834784.1157890642</v>
      </c>
      <c r="X18" s="12">
        <f>IF($T18=TRUE, $Q18*$C$10, $M18)</f>
        <v>19950313.027924076</v>
      </c>
      <c r="Y18" s="12">
        <f>IF($T18=TRUE, $Q18*$C$11, $N18)</f>
        <v>10108684.912558049</v>
      </c>
      <c r="Z18" s="12">
        <f>IF($T18=TRUE, $Q18*$C$12, $O18)</f>
        <v>9984655.5163418725</v>
      </c>
      <c r="AA18" s="12">
        <f>IF($T18=TRUE, $Q18*$C$13, $P18)</f>
        <v>10187141.731431836</v>
      </c>
      <c r="AB18" s="12">
        <f>U18-(1-$B$3)</f>
        <v>30628502.485790685</v>
      </c>
      <c r="AC18" s="12">
        <f t="shared" si="7"/>
        <v>15266627.778942956</v>
      </c>
      <c r="AD18" s="12">
        <f t="shared" si="7"/>
        <v>4817660.9220456444</v>
      </c>
      <c r="AE18" s="12">
        <f t="shared" si="7"/>
        <v>19879655.669283513</v>
      </c>
      <c r="AF18" s="12">
        <f t="shared" si="7"/>
        <v>10072883.320159405</v>
      </c>
      <c r="AG18" s="12">
        <f t="shared" si="7"/>
        <v>9949293.1947214957</v>
      </c>
      <c r="AH18" s="12">
        <f t="shared" si="7"/>
        <v>10151062.271133015</v>
      </c>
      <c r="AI18" s="12">
        <f t="shared" si="8"/>
        <v>100765685.64207672</v>
      </c>
    </row>
    <row r="19" spans="1:35" x14ac:dyDescent="0.2">
      <c r="A19" s="1">
        <f>Returns!A6</f>
        <v>42551</v>
      </c>
      <c r="B19" s="20">
        <f t="shared" si="9"/>
        <v>100657210.68870206</v>
      </c>
      <c r="C19" s="18">
        <f t="shared" si="10"/>
        <v>0.29865203492385739</v>
      </c>
      <c r="D19" s="18">
        <f t="shared" si="1"/>
        <v>0.145271484714388</v>
      </c>
      <c r="E19" s="18">
        <f t="shared" si="1"/>
        <v>4.9124947818702608E-2</v>
      </c>
      <c r="F19" s="18">
        <f t="shared" si="1"/>
        <v>0.19981308628583011</v>
      </c>
      <c r="G19" s="18">
        <f t="shared" si="1"/>
        <v>0.10121584796443511</v>
      </c>
      <c r="H19" s="18">
        <f t="shared" si="1"/>
        <v>0.10374940967189085</v>
      </c>
      <c r="I19" s="18">
        <f t="shared" si="1"/>
        <v>0.10217318862089605</v>
      </c>
      <c r="J19" s="12">
        <f>J18*(1+Returns!B6)</f>
        <v>30733820.281977229</v>
      </c>
      <c r="K19" s="12">
        <f>K18*(1+Returns!C6)</f>
        <v>14949664.429530203</v>
      </c>
      <c r="L19" s="12">
        <f>L18*(1+Returns!D6)</f>
        <v>5055372.6111608259</v>
      </c>
      <c r="M19" s="12">
        <f>M18*(1+Returns!E6)</f>
        <v>20562456.523899429</v>
      </c>
      <c r="N19" s="12">
        <f>N18*(1+Returns!F6)</f>
        <v>10415966.801699437</v>
      </c>
      <c r="O19" s="12">
        <f>O18*(1+Returns!G6)</f>
        <v>10676691.729323305</v>
      </c>
      <c r="P19" s="12">
        <f>P18*(1+Returns!H6)</f>
        <v>10514485.252082011</v>
      </c>
      <c r="Q19" s="12">
        <f t="shared" si="2"/>
        <v>102908457.62967242</v>
      </c>
      <c r="R19" s="12">
        <f t="shared" si="3"/>
        <v>364467.45410508988</v>
      </c>
      <c r="S19" s="12">
        <f t="shared" si="4"/>
        <v>102543990.17556733</v>
      </c>
      <c r="T19" t="b">
        <f t="shared" si="5"/>
        <v>0</v>
      </c>
      <c r="U19" s="12">
        <f t="shared" si="6"/>
        <v>30733820.281977229</v>
      </c>
      <c r="V19" s="12">
        <f>IF($T19=TRUE, $Q19*$C$8, $K19)</f>
        <v>14949664.429530203</v>
      </c>
      <c r="W19" s="12">
        <f>IF($T19=TRUE, $Q19*$C$9, $L19)</f>
        <v>5055372.6111608259</v>
      </c>
      <c r="X19" s="12">
        <f>IF($T19=TRUE, $Q19*$C$10, $M19)</f>
        <v>20562456.523899429</v>
      </c>
      <c r="Y19" s="12">
        <f>IF($T19=TRUE, $Q19*$C$11, $N19)</f>
        <v>10415966.801699437</v>
      </c>
      <c r="Z19" s="12">
        <f>IF($T19=TRUE, $Q19*$C$12, $O19)</f>
        <v>10676691.729323305</v>
      </c>
      <c r="AA19" s="12">
        <f>IF($T19=TRUE, $Q19*$C$13, $P19)</f>
        <v>10514485.252082011</v>
      </c>
      <c r="AB19" s="12">
        <f>U19-(1-$B$3)</f>
        <v>30733819.285518896</v>
      </c>
      <c r="AC19" s="12">
        <f t="shared" si="7"/>
        <v>14896717.701342285</v>
      </c>
      <c r="AD19" s="12">
        <f t="shared" si="7"/>
        <v>5037468.1664962983</v>
      </c>
      <c r="AE19" s="12">
        <f t="shared" si="7"/>
        <v>20489631.157043952</v>
      </c>
      <c r="AF19" s="12">
        <f t="shared" si="7"/>
        <v>10379076.919276752</v>
      </c>
      <c r="AG19" s="12">
        <f t="shared" si="7"/>
        <v>10638878.446115285</v>
      </c>
      <c r="AH19" s="12">
        <f t="shared" si="7"/>
        <v>10477246.450147554</v>
      </c>
      <c r="AI19" s="12">
        <f t="shared" si="8"/>
        <v>102652838.12594102</v>
      </c>
    </row>
    <row r="20" spans="1:35" x14ac:dyDescent="0.2">
      <c r="A20" s="1">
        <f>Returns!A7</f>
        <v>42582</v>
      </c>
      <c r="B20" s="20">
        <f t="shared" si="9"/>
        <v>102543990.17556733</v>
      </c>
      <c r="C20" s="18">
        <f t="shared" si="10"/>
        <v>0.30106088533081427</v>
      </c>
      <c r="D20" s="18">
        <f t="shared" si="1"/>
        <v>0.14687112443633901</v>
      </c>
      <c r="E20" s="18">
        <f t="shared" si="1"/>
        <v>5.0340944800755717E-2</v>
      </c>
      <c r="F20" s="18">
        <f t="shared" si="1"/>
        <v>0.19483248035551978</v>
      </c>
      <c r="G20" s="18">
        <f t="shared" si="1"/>
        <v>9.9733933695648813E-2</v>
      </c>
      <c r="H20" s="18">
        <f t="shared" si="1"/>
        <v>0.10519238183868776</v>
      </c>
      <c r="I20" s="18">
        <f t="shared" si="1"/>
        <v>0.10196824954223478</v>
      </c>
      <c r="J20" s="12">
        <f>J19*(1+Returns!B7)</f>
        <v>31856633.259724803</v>
      </c>
      <c r="K20" s="12">
        <f>K19*(1+Returns!C7)</f>
        <v>15541107.382550335</v>
      </c>
      <c r="L20" s="12">
        <f>L19*(1+Returns!D7)</f>
        <v>5326806.2860558638</v>
      </c>
      <c r="M20" s="12">
        <f>M19*(1+Returns!E7)</f>
        <v>20616118.453741424</v>
      </c>
      <c r="N20" s="12">
        <f>N19*(1+Returns!F7)</f>
        <v>10553305.009386424</v>
      </c>
      <c r="O20" s="12">
        <f>O19*(1+Returns!G7)</f>
        <v>11130888.445603803</v>
      </c>
      <c r="P20" s="12">
        <f>P19*(1+Returns!H7)</f>
        <v>10789728.218043599</v>
      </c>
      <c r="Q20" s="12">
        <f t="shared" si="2"/>
        <v>105814587.05510624</v>
      </c>
      <c r="R20" s="12">
        <f t="shared" si="3"/>
        <v>374759.99582016794</v>
      </c>
      <c r="S20" s="12">
        <f t="shared" si="4"/>
        <v>105439827.05928607</v>
      </c>
      <c r="T20" t="b">
        <f>OR(
  C20&lt;25%,C20&gt;35%,
  D20&lt;10%,D20&gt;20%,
  E20&lt;2%, E20&gt;7%,
  F20&lt;15%,F20&gt;25%,
  G20&lt;5%, G20&gt;15%,
  H20&lt;5%, H20&gt;15%,
  I20&lt;5%, I20&gt;15%
)</f>
        <v>0</v>
      </c>
      <c r="U20" s="12">
        <f t="shared" si="6"/>
        <v>31856633.259724803</v>
      </c>
      <c r="V20" s="12">
        <f>IF($T20=TRUE, $Q20*$C$8, $K20)</f>
        <v>15541107.382550335</v>
      </c>
      <c r="W20" s="12">
        <f>IF($T20=TRUE, $Q20*$C$9, $L20)</f>
        <v>5326806.2860558638</v>
      </c>
      <c r="X20" s="12">
        <f>IF($T20=TRUE, $Q20*$C$10, $M20)</f>
        <v>20616118.453741424</v>
      </c>
      <c r="Y20" s="12">
        <f>IF($T20=TRUE, $Q20*$C$11, $N20)</f>
        <v>10553305.009386424</v>
      </c>
      <c r="Z20" s="12">
        <f>IF($T20=TRUE, $Q20*$C$12, $O20)</f>
        <v>11130888.445603803</v>
      </c>
      <c r="AA20" s="12">
        <f>IF($T20=TRUE, $Q20*$C$13, $P20)</f>
        <v>10789728.218043599</v>
      </c>
      <c r="AB20" s="12">
        <f>U20-(1-$B$3)</f>
        <v>31856632.26326647</v>
      </c>
      <c r="AC20" s="12">
        <f t="shared" si="7"/>
        <v>15486065.960570469</v>
      </c>
      <c r="AD20" s="12">
        <f t="shared" si="7"/>
        <v>5307940.5137927495</v>
      </c>
      <c r="AE20" s="12">
        <f t="shared" si="7"/>
        <v>20543103.034217756</v>
      </c>
      <c r="AF20" s="12">
        <f t="shared" si="7"/>
        <v>10515928.720811514</v>
      </c>
      <c r="AG20" s="12">
        <f t="shared" si="7"/>
        <v>11091466.549025623</v>
      </c>
      <c r="AH20" s="12">
        <f t="shared" si="7"/>
        <v>10751514.597271362</v>
      </c>
      <c r="AI20" s="12">
        <f t="shared" si="8"/>
        <v>105552651.63895597</v>
      </c>
    </row>
    <row r="21" spans="1:35" x14ac:dyDescent="0.2">
      <c r="A21" s="1">
        <f>Returns!A8</f>
        <v>42613</v>
      </c>
      <c r="B21" s="20">
        <f t="shared" si="9"/>
        <v>105439827.05928607</v>
      </c>
      <c r="C21" s="18">
        <f t="shared" si="10"/>
        <v>0.30322479073136033</v>
      </c>
      <c r="D21" s="18">
        <f t="shared" si="1"/>
        <v>0.14852318780946019</v>
      </c>
      <c r="E21" s="18">
        <f t="shared" si="1"/>
        <v>5.1095124047144121E-2</v>
      </c>
      <c r="F21" s="18">
        <f t="shared" si="1"/>
        <v>0.19404636028124034</v>
      </c>
      <c r="G21" s="18">
        <f t="shared" si="1"/>
        <v>0.10047802859012461</v>
      </c>
      <c r="H21" s="18">
        <f t="shared" si="1"/>
        <v>0.10183626242611196</v>
      </c>
      <c r="I21" s="18">
        <f t="shared" si="1"/>
        <v>0.10079624611455837</v>
      </c>
      <c r="J21" s="12">
        <f>J20*(1+Returns!B8)</f>
        <v>31895702.39510785</v>
      </c>
      <c r="K21" s="12">
        <f>K20*(1+Returns!C8)</f>
        <v>15622902.684563758</v>
      </c>
      <c r="L21" s="12">
        <f>L20*(1+Returns!D8)</f>
        <v>5374609.5974476598</v>
      </c>
      <c r="M21" s="12">
        <f>M20*(1+Returns!E8)</f>
        <v>20411408.128788628</v>
      </c>
      <c r="N21" s="12">
        <f>N20*(1+Returns!F8)</f>
        <v>10569113.723940322</v>
      </c>
      <c r="O21" s="12">
        <f>O20*(1+Returns!G8)</f>
        <v>10711984.041736992</v>
      </c>
      <c r="P21" s="12">
        <f>P20*(1+Returns!H8)</f>
        <v>10602586.486611759</v>
      </c>
      <c r="Q21" s="12">
        <f t="shared" si="2"/>
        <v>105188307.05819698</v>
      </c>
      <c r="R21" s="12">
        <f t="shared" si="3"/>
        <v>372541.92083111434</v>
      </c>
      <c r="S21" s="12">
        <f t="shared" si="4"/>
        <v>104815765.13736586</v>
      </c>
      <c r="T21" t="b">
        <f t="shared" si="5"/>
        <v>0</v>
      </c>
      <c r="U21" s="12">
        <f t="shared" si="6"/>
        <v>31895702.39510785</v>
      </c>
      <c r="V21" s="12">
        <f>IF($T21=TRUE, $Q21*$C$8, $K21)</f>
        <v>15622902.684563758</v>
      </c>
      <c r="W21" s="12">
        <f>IF($T21=TRUE, $Q21*$C$9, $L21)</f>
        <v>5374609.5974476598</v>
      </c>
      <c r="X21" s="12">
        <f>IF($T21=TRUE, $Q21*$C$10, $M21)</f>
        <v>20411408.128788628</v>
      </c>
      <c r="Y21" s="12">
        <f>IF($T21=TRUE, $Q21*$C$11, $N21)</f>
        <v>10569113.723940322</v>
      </c>
      <c r="Z21" s="12">
        <f>IF($T21=TRUE, $Q21*$C$12, $O21)</f>
        <v>10711984.041736992</v>
      </c>
      <c r="AA21" s="12">
        <f>IF($T21=TRUE, $Q21*$C$13, $P21)</f>
        <v>10602586.486611759</v>
      </c>
      <c r="AB21" s="12">
        <f>U21-(1-$B$3)</f>
        <v>31895701.398649517</v>
      </c>
      <c r="AC21" s="12">
        <f t="shared" si="7"/>
        <v>15567571.570889261</v>
      </c>
      <c r="AD21" s="12">
        <f t="shared" si="7"/>
        <v>5355574.5217900323</v>
      </c>
      <c r="AE21" s="12">
        <f t="shared" si="7"/>
        <v>20339117.724999167</v>
      </c>
      <c r="AF21" s="12">
        <f t="shared" si="7"/>
        <v>10531681.446168033</v>
      </c>
      <c r="AG21" s="12">
        <f t="shared" si="7"/>
        <v>10674045.764922507</v>
      </c>
      <c r="AH21" s="12">
        <f t="shared" si="7"/>
        <v>10565035.659471676</v>
      </c>
      <c r="AI21" s="12">
        <f t="shared" si="8"/>
        <v>104928728.08689021</v>
      </c>
    </row>
    <row r="22" spans="1:35" x14ac:dyDescent="0.2">
      <c r="A22" s="1">
        <f>Returns!A9</f>
        <v>42643</v>
      </c>
      <c r="B22" s="20">
        <f t="shared" si="9"/>
        <v>104815765.13736586</v>
      </c>
      <c r="C22" s="18">
        <f t="shared" si="10"/>
        <v>0.30217933069038067</v>
      </c>
      <c r="D22" s="18">
        <f t="shared" si="1"/>
        <v>0.1500298515516105</v>
      </c>
      <c r="E22" s="18">
        <f t="shared" si="1"/>
        <v>5.2196092929206295E-2</v>
      </c>
      <c r="F22" s="18">
        <f t="shared" si="1"/>
        <v>0.19380007989962073</v>
      </c>
      <c r="G22" s="18">
        <f t="shared" si="1"/>
        <v>9.9864181376753069E-2</v>
      </c>
      <c r="H22" s="18">
        <f t="shared" si="1"/>
        <v>9.9619066285089375E-2</v>
      </c>
      <c r="I22" s="18">
        <f t="shared" si="1"/>
        <v>0.10231139726733933</v>
      </c>
      <c r="J22" s="12">
        <f>J21*(1+Returns!B9)</f>
        <v>31897401.053167984</v>
      </c>
      <c r="K22" s="12">
        <f>K21*(1+Returns!C9)</f>
        <v>15836828.859060403</v>
      </c>
      <c r="L22" s="12">
        <f>L21*(1+Returns!D9)</f>
        <v>5509707.4501009826</v>
      </c>
      <c r="M22" s="12">
        <f>M21*(1+Returns!E9)</f>
        <v>20457120.143098477</v>
      </c>
      <c r="N22" s="12">
        <f>N21*(1+Returns!F9)</f>
        <v>10541448.473471001</v>
      </c>
      <c r="O22" s="12">
        <f>O21*(1+Returns!G9)</f>
        <v>10515574.650912993</v>
      </c>
      <c r="P22" s="12">
        <f>P21*(1+Returns!H9)</f>
        <v>10799771.326153792</v>
      </c>
      <c r="Q22" s="12">
        <f t="shared" si="2"/>
        <v>105557851.95596564</v>
      </c>
      <c r="R22" s="12">
        <f t="shared" si="3"/>
        <v>373850.7256773783</v>
      </c>
      <c r="S22" s="12">
        <f t="shared" si="4"/>
        <v>105184001.23028827</v>
      </c>
      <c r="T22" t="b">
        <f t="shared" si="5"/>
        <v>0</v>
      </c>
      <c r="U22" s="12">
        <f t="shared" si="6"/>
        <v>31897401.053167984</v>
      </c>
      <c r="V22" s="12">
        <f>IF($T22=TRUE, $Q22*$C$8, $K22)</f>
        <v>15836828.859060403</v>
      </c>
      <c r="W22" s="12">
        <f>IF($T22=TRUE, $Q22*$C$9, $L22)</f>
        <v>5509707.4501009826</v>
      </c>
      <c r="X22" s="12">
        <f>IF($T22=TRUE, $Q22*$C$10, $M22)</f>
        <v>20457120.143098477</v>
      </c>
      <c r="Y22" s="12">
        <f>IF($T22=TRUE, $Q22*$C$11, $N22)</f>
        <v>10541448.473471001</v>
      </c>
      <c r="Z22" s="12">
        <f>IF($T22=TRUE, $Q22*$C$12, $O22)</f>
        <v>10515574.650912993</v>
      </c>
      <c r="AA22" s="12">
        <f>IF($T22=TRUE, $Q22*$C$13, $P22)</f>
        <v>10799771.326153792</v>
      </c>
      <c r="AB22" s="12">
        <f>U22-(1-$B$3)</f>
        <v>31897400.056709651</v>
      </c>
      <c r="AC22" s="12">
        <f t="shared" si="7"/>
        <v>15780740.090184564</v>
      </c>
      <c r="AD22" s="12">
        <f t="shared" si="7"/>
        <v>5490193.9028818747</v>
      </c>
      <c r="AE22" s="12">
        <f t="shared" si="7"/>
        <v>20384667.842591669</v>
      </c>
      <c r="AF22" s="12">
        <f t="shared" si="7"/>
        <v>10504114.176794125</v>
      </c>
      <c r="AG22" s="12">
        <f t="shared" si="7"/>
        <v>10478331.99069101</v>
      </c>
      <c r="AH22" s="12">
        <f t="shared" si="7"/>
        <v>10761522.136040332</v>
      </c>
      <c r="AI22" s="12">
        <f t="shared" si="8"/>
        <v>105296970.19589323</v>
      </c>
    </row>
    <row r="23" spans="1:35" x14ac:dyDescent="0.2">
      <c r="A23" s="1">
        <f>Returns!A10</f>
        <v>42674</v>
      </c>
      <c r="B23" s="20">
        <f t="shared" si="9"/>
        <v>105184001.23028827</v>
      </c>
      <c r="C23" s="18">
        <f t="shared" si="10"/>
        <v>0.3037608331058323</v>
      </c>
      <c r="D23" s="18">
        <f t="shared" si="1"/>
        <v>0.15007298604110988</v>
      </c>
      <c r="E23" s="18">
        <f t="shared" si="1"/>
        <v>5.2957971294487274E-2</v>
      </c>
      <c r="F23" s="18">
        <f t="shared" si="1"/>
        <v>0.19528132451556524</v>
      </c>
      <c r="G23" s="18">
        <f>N23/$Q23</f>
        <v>0.10055719162831847</v>
      </c>
      <c r="H23" s="18">
        <f t="shared" si="1"/>
        <v>9.607064339002884E-2</v>
      </c>
      <c r="I23" s="18">
        <f t="shared" si="1"/>
        <v>0.10129905002465794</v>
      </c>
      <c r="J23" s="12">
        <f>J22*(1+Returns!B10)</f>
        <v>31341939.867504656</v>
      </c>
      <c r="K23" s="12">
        <f>K22*(1+Returns!C10)</f>
        <v>15484479.865771811</v>
      </c>
      <c r="L23" s="12">
        <f>L22*(1+Returns!D10)</f>
        <v>5464185.5398077955</v>
      </c>
      <c r="M23" s="12">
        <f>M22*(1+Returns!E10)</f>
        <v>20149060.916227758</v>
      </c>
      <c r="N23" s="12">
        <f>N22*(1+Returns!F10)</f>
        <v>10375456.970655074</v>
      </c>
      <c r="O23" s="12">
        <f>O22*(1+Returns!G10)</f>
        <v>9912536.4431486838</v>
      </c>
      <c r="P23" s="12">
        <f>P22*(1+Returns!H10)</f>
        <v>10452001.668701034</v>
      </c>
      <c r="Q23" s="12">
        <f t="shared" si="2"/>
        <v>103179661.27181682</v>
      </c>
      <c r="R23" s="12">
        <f t="shared" si="3"/>
        <v>365427.96700435126</v>
      </c>
      <c r="S23" s="12">
        <f t="shared" si="4"/>
        <v>102814233.30481248</v>
      </c>
      <c r="T23" t="b">
        <f t="shared" si="5"/>
        <v>0</v>
      </c>
      <c r="U23" s="12">
        <f t="shared" si="6"/>
        <v>31341939.867504656</v>
      </c>
      <c r="V23" s="12">
        <f>IF($T23=TRUE, $Q23*$C$8, $K23)</f>
        <v>15484479.865771811</v>
      </c>
      <c r="W23" s="12">
        <f>IF($T23=TRUE, $Q23*$C$9, $L23)</f>
        <v>5464185.5398077955</v>
      </c>
      <c r="X23" s="12">
        <f>IF($T23=TRUE, $Q23*$C$10, $M23)</f>
        <v>20149060.916227758</v>
      </c>
      <c r="Y23" s="12">
        <f>IF($T23=TRUE, $Q23*$C$11, $N23)</f>
        <v>10375456.970655074</v>
      </c>
      <c r="Z23" s="12">
        <f>IF($T23=TRUE, $Q23*$C$12, $O23)</f>
        <v>9912536.4431486838</v>
      </c>
      <c r="AA23" s="12">
        <f>IF($T23=TRUE, $Q23*$C$13, $P23)</f>
        <v>10452001.668701034</v>
      </c>
      <c r="AB23" s="12">
        <f>U23-(1-$B$3)</f>
        <v>31341938.871046323</v>
      </c>
      <c r="AC23" s="12">
        <f t="shared" si="7"/>
        <v>15429638.999580536</v>
      </c>
      <c r="AD23" s="12">
        <f t="shared" si="7"/>
        <v>5444833.2160209762</v>
      </c>
      <c r="AE23" s="12">
        <f t="shared" si="7"/>
        <v>20077699.658816118</v>
      </c>
      <c r="AF23" s="12">
        <f t="shared" si="7"/>
        <v>10338710.560550671</v>
      </c>
      <c r="AG23" s="12">
        <f t="shared" si="7"/>
        <v>9877429.543245865</v>
      </c>
      <c r="AH23" s="12">
        <f>AA23*(1-$B$3)</f>
        <v>10414984.162791051</v>
      </c>
      <c r="AI23" s="12">
        <f t="shared" si="8"/>
        <v>102925235.01205155</v>
      </c>
    </row>
    <row r="24" spans="1:35" x14ac:dyDescent="0.2">
      <c r="A24" s="1">
        <f>Returns!A11</f>
        <v>42704</v>
      </c>
      <c r="B24" s="20">
        <f t="shared" si="9"/>
        <v>102814233.30481248</v>
      </c>
      <c r="C24" s="18">
        <f t="shared" si="10"/>
        <v>0.31845845407533147</v>
      </c>
      <c r="D24" s="18">
        <f t="shared" si="1"/>
        <v>0.14905983542025109</v>
      </c>
      <c r="E24" s="18">
        <f t="shared" si="1"/>
        <v>5.1180396747271685E-2</v>
      </c>
      <c r="F24" s="18">
        <f t="shared" si="1"/>
        <v>0.18905871390986673</v>
      </c>
      <c r="G24" s="18">
        <f t="shared" si="1"/>
        <v>9.8480302988524754E-2</v>
      </c>
      <c r="H24" s="18">
        <f t="shared" si="1"/>
        <v>9.5515073686419885E-2</v>
      </c>
      <c r="I24" s="18">
        <f t="shared" si="1"/>
        <v>9.824722317233435E-2</v>
      </c>
      <c r="J24" s="12">
        <f>J23*(1+Returns!B11)</f>
        <v>32497027.348394759</v>
      </c>
      <c r="K24" s="12">
        <f>K23*(1+Returns!C11)</f>
        <v>15210780.201342281</v>
      </c>
      <c r="L24" s="12">
        <f>L23*(1+Returns!D11)</f>
        <v>5222693.0436720299</v>
      </c>
      <c r="M24" s="12">
        <f>M23*(1+Returns!E11)</f>
        <v>19292457.517638866</v>
      </c>
      <c r="N24" s="12">
        <f>N23*(1+Returns!F11)</f>
        <v>10049402.232980931</v>
      </c>
      <c r="O24" s="12">
        <f>O23*(1+Returns!G11)</f>
        <v>9746816.0196409356</v>
      </c>
      <c r="P24" s="12">
        <f>P23*(1+Returns!H11)</f>
        <v>10025617.65114877</v>
      </c>
      <c r="Q24" s="12">
        <f t="shared" si="2"/>
        <v>102044794.01481858</v>
      </c>
      <c r="R24" s="12">
        <f t="shared" si="3"/>
        <v>361408.64546914917</v>
      </c>
      <c r="S24" s="12">
        <f t="shared" si="4"/>
        <v>101683385.36934943</v>
      </c>
      <c r="T24" t="b">
        <f t="shared" si="5"/>
        <v>0</v>
      </c>
      <c r="U24" s="12">
        <f t="shared" si="6"/>
        <v>32497027.348394759</v>
      </c>
      <c r="V24" s="12">
        <f>IF($T24=TRUE, $Q24*$C$8, $K24)</f>
        <v>15210780.201342281</v>
      </c>
      <c r="W24" s="12">
        <f>IF($T24=TRUE, $Q24*$C$9, $L24)</f>
        <v>5222693.0436720299</v>
      </c>
      <c r="X24" s="12">
        <f>IF($T24=TRUE, $Q24*$C$10, $M24)</f>
        <v>19292457.517638866</v>
      </c>
      <c r="Y24" s="12">
        <f>IF($T24=TRUE, $Q24*$C$11, $N24)</f>
        <v>10049402.232980931</v>
      </c>
      <c r="Z24" s="12">
        <f>IF($T24=TRUE, $Q24*$C$12, $O24)</f>
        <v>9746816.0196409356</v>
      </c>
      <c r="AA24" s="12">
        <f>IF($T24=TRUE, $Q24*$C$13, $P24)</f>
        <v>10025617.65114877</v>
      </c>
      <c r="AB24" s="12">
        <f>U24-(1-$B$3)</f>
        <v>32497026.351936426</v>
      </c>
      <c r="AC24" s="12">
        <f t="shared" si="7"/>
        <v>15156908.688129194</v>
      </c>
      <c r="AD24" s="12">
        <f t="shared" si="7"/>
        <v>5204196.0058090249</v>
      </c>
      <c r="AE24" s="12">
        <f t="shared" si="7"/>
        <v>19224130.06393056</v>
      </c>
      <c r="AF24" s="12">
        <f t="shared" si="7"/>
        <v>10013810.600072457</v>
      </c>
      <c r="AG24" s="12">
        <f t="shared" si="7"/>
        <v>9712296.0462380406</v>
      </c>
      <c r="AH24" s="12">
        <f t="shared" si="7"/>
        <v>9990110.2553009521</v>
      </c>
      <c r="AI24" s="12">
        <f t="shared" si="8"/>
        <v>101798478.01141664</v>
      </c>
    </row>
    <row r="25" spans="1:35" x14ac:dyDescent="0.2">
      <c r="A25" s="1">
        <f>Returns!A12</f>
        <v>42735</v>
      </c>
      <c r="B25" s="20">
        <f t="shared" si="9"/>
        <v>101683385.36934943</v>
      </c>
      <c r="C25" s="18">
        <f t="shared" si="10"/>
        <v>0.31912616588215453</v>
      </c>
      <c r="D25" s="18">
        <f t="shared" si="1"/>
        <v>0.15035492325093594</v>
      </c>
      <c r="E25" s="18">
        <f t="shared" si="1"/>
        <v>5.0149935192365908E-2</v>
      </c>
      <c r="F25" s="18">
        <f t="shared" si="1"/>
        <v>0.18549769521608339</v>
      </c>
      <c r="G25" s="18">
        <f t="shared" si="1"/>
        <v>9.7552930189728312E-2</v>
      </c>
      <c r="H25" s="18">
        <f t="shared" si="1"/>
        <v>9.8327324949043532E-2</v>
      </c>
      <c r="I25" s="18">
        <f t="shared" si="1"/>
        <v>9.8991025319688453E-2</v>
      </c>
      <c r="J25" s="12">
        <f>J24*(1+Returns!B12)</f>
        <v>33152709.359605905</v>
      </c>
      <c r="K25" s="12">
        <f>K24*(1+Returns!C12)</f>
        <v>15619756.711409396</v>
      </c>
      <c r="L25" s="12">
        <f>L24*(1+Returns!D12)</f>
        <v>5209871.2157922471</v>
      </c>
      <c r="M25" s="12">
        <f>M24*(1+Returns!E12)</f>
        <v>19270595.249925461</v>
      </c>
      <c r="N25" s="12">
        <f>N24*(1+Returns!F12)</f>
        <v>10134374.073708132</v>
      </c>
      <c r="O25" s="12">
        <f>O24*(1+Returns!G12)</f>
        <v>10214822.771213744</v>
      </c>
      <c r="P25" s="12">
        <f>P24*(1+Returns!H12)</f>
        <v>10283771.88238747</v>
      </c>
      <c r="Q25" s="12">
        <f t="shared" si="2"/>
        <v>103885901.26404235</v>
      </c>
      <c r="R25" s="12">
        <f t="shared" si="3"/>
        <v>367929.23364348331</v>
      </c>
      <c r="S25" s="12">
        <f t="shared" si="4"/>
        <v>103517972.03039886</v>
      </c>
      <c r="T25" t="b">
        <f t="shared" si="5"/>
        <v>0</v>
      </c>
      <c r="U25" s="12">
        <f t="shared" si="6"/>
        <v>33152709.359605905</v>
      </c>
      <c r="V25" s="12">
        <f>IF($T25=TRUE, $Q25*$C$8, $K25)</f>
        <v>15619756.711409396</v>
      </c>
      <c r="W25" s="12">
        <f>IF($T25=TRUE, $Q25*$C$9, $L25)</f>
        <v>5209871.2157922471</v>
      </c>
      <c r="X25" s="12">
        <f>IF($T25=TRUE, $Q25*$C$10, $M25)</f>
        <v>19270595.249925461</v>
      </c>
      <c r="Y25" s="12">
        <f>IF($T25=TRUE, $Q25*$C$11, $N25)</f>
        <v>10134374.073708132</v>
      </c>
      <c r="Z25" s="12">
        <f>IF($T25=TRUE, $Q25*$C$12, $O25)</f>
        <v>10214822.771213744</v>
      </c>
      <c r="AA25" s="12">
        <f>IF($T25=TRUE, $Q25*$C$13, $P25)</f>
        <v>10283771.88238747</v>
      </c>
      <c r="AB25" s="12">
        <f>U25-(1-$B$3)</f>
        <v>33152708.363147572</v>
      </c>
      <c r="AC25" s="12">
        <f t="shared" si="7"/>
        <v>15564436.739723153</v>
      </c>
      <c r="AD25" s="12">
        <f t="shared" si="7"/>
        <v>5191419.5885696495</v>
      </c>
      <c r="AE25" s="12">
        <f t="shared" si="7"/>
        <v>19202345.225081977</v>
      </c>
      <c r="AF25" s="12">
        <f t="shared" si="7"/>
        <v>10098481.498863749</v>
      </c>
      <c r="AG25" s="12">
        <f t="shared" si="7"/>
        <v>10178645.273899028</v>
      </c>
      <c r="AH25" s="12">
        <f t="shared" si="7"/>
        <v>10247350.190304015</v>
      </c>
      <c r="AI25" s="12">
        <f t="shared" si="8"/>
        <v>103635386.87958916</v>
      </c>
    </row>
    <row r="26" spans="1:35" x14ac:dyDescent="0.2">
      <c r="A26" s="1">
        <f>Returns!A13</f>
        <v>42766</v>
      </c>
      <c r="B26" s="20">
        <f t="shared" si="9"/>
        <v>103517972.03039886</v>
      </c>
      <c r="C26" s="18">
        <f t="shared" si="10"/>
        <v>0.31970494254048404</v>
      </c>
      <c r="D26" s="18">
        <f t="shared" si="1"/>
        <v>0.15285404860615195</v>
      </c>
      <c r="E26" s="18">
        <f t="shared" si="1"/>
        <v>5.2636955828776227E-2</v>
      </c>
      <c r="F26" s="18">
        <f t="shared" si="1"/>
        <v>0.18296526649851844</v>
      </c>
      <c r="G26" s="18">
        <f t="shared" si="1"/>
        <v>9.6134337827535998E-2</v>
      </c>
      <c r="H26" s="18">
        <f t="shared" si="1"/>
        <v>9.6590963712579012E-2</v>
      </c>
      <c r="I26" s="18">
        <f t="shared" si="1"/>
        <v>9.9113484985954403E-2</v>
      </c>
      <c r="J26" s="12">
        <f>J25*(1+Returns!B13)</f>
        <v>33748938.338712417</v>
      </c>
      <c r="K26" s="12">
        <f>K25*(1+Returns!C13)</f>
        <v>16135696.308724832</v>
      </c>
      <c r="L26" s="12">
        <f>L25*(1+Returns!D13)</f>
        <v>5556502.7005422302</v>
      </c>
      <c r="M26" s="12">
        <f>M25*(1+Returns!E13)</f>
        <v>19314319.785352275</v>
      </c>
      <c r="N26" s="12">
        <f>N25*(1+Returns!F13)</f>
        <v>10148206.698942794</v>
      </c>
      <c r="O26" s="12">
        <f>O25*(1+Returns!G13)</f>
        <v>10196409.390823996</v>
      </c>
      <c r="P26" s="12">
        <f>P25*(1+Returns!H13)</f>
        <v>10462693.716104504</v>
      </c>
      <c r="Q26" s="12">
        <f t="shared" si="2"/>
        <v>105562766.93920304</v>
      </c>
      <c r="R26" s="12">
        <f t="shared" si="3"/>
        <v>373868.13290967746</v>
      </c>
      <c r="S26" s="12">
        <f t="shared" si="4"/>
        <v>105188898.80629337</v>
      </c>
      <c r="T26" t="b">
        <f t="shared" si="5"/>
        <v>0</v>
      </c>
      <c r="U26" s="12">
        <f t="shared" si="6"/>
        <v>33748938.338712417</v>
      </c>
      <c r="V26" s="12">
        <f>IF($T26=TRUE, $Q26*$C$8, $K26)</f>
        <v>16135696.308724832</v>
      </c>
      <c r="W26" s="12">
        <f>IF($T26=TRUE, $Q26*$C$9, $L26)</f>
        <v>5556502.7005422302</v>
      </c>
      <c r="X26" s="12">
        <f>IF($T26=TRUE, $Q26*$C$10, $M26)</f>
        <v>19314319.785352275</v>
      </c>
      <c r="Y26" s="12">
        <f>IF($T26=TRUE, $Q26*$C$11, $N26)</f>
        <v>10148206.698942794</v>
      </c>
      <c r="Z26" s="12">
        <f>IF($T26=TRUE, $Q26*$C$12, $O26)</f>
        <v>10196409.390823996</v>
      </c>
      <c r="AA26" s="12">
        <f>IF($T26=TRUE, $Q26*$C$13, $P26)</f>
        <v>10462693.716104504</v>
      </c>
      <c r="AB26" s="12">
        <f>U26-(1-$B$3)</f>
        <v>33748937.34225408</v>
      </c>
      <c r="AC26" s="12">
        <f t="shared" si="7"/>
        <v>16078549.050964765</v>
      </c>
      <c r="AD26" s="12">
        <f t="shared" si="7"/>
        <v>5536823.420144476</v>
      </c>
      <c r="AE26" s="12">
        <f t="shared" si="7"/>
        <v>19245914.902779151</v>
      </c>
      <c r="AF26" s="12">
        <f t="shared" si="7"/>
        <v>10112265.133550705</v>
      </c>
      <c r="AG26" s="12">
        <f t="shared" si="7"/>
        <v>10160297.107564827</v>
      </c>
      <c r="AH26" s="12">
        <f t="shared" si="7"/>
        <v>10425638.342526633</v>
      </c>
      <c r="AI26" s="12">
        <f t="shared" si="8"/>
        <v>105308425.29978463</v>
      </c>
    </row>
    <row r="27" spans="1:35" x14ac:dyDescent="0.2">
      <c r="A27" s="1">
        <f>Returns!A14</f>
        <v>42794</v>
      </c>
      <c r="B27" s="20">
        <f t="shared" si="9"/>
        <v>105188898.80629337</v>
      </c>
      <c r="C27" s="18">
        <f t="shared" si="10"/>
        <v>0.32447694065396482</v>
      </c>
      <c r="D27" s="18">
        <f t="shared" si="1"/>
        <v>0.15103590025989139</v>
      </c>
      <c r="E27" s="18">
        <f t="shared" si="1"/>
        <v>5.229392701689612E-2</v>
      </c>
      <c r="F27" s="18">
        <f t="shared" si="1"/>
        <v>0.18004293990114589</v>
      </c>
      <c r="G27" s="18">
        <f t="shared" si="1"/>
        <v>9.508083608865299E-2</v>
      </c>
      <c r="H27" s="18">
        <f t="shared" si="1"/>
        <v>9.7627522623486007E-2</v>
      </c>
      <c r="I27" s="18">
        <f t="shared" si="1"/>
        <v>9.9441933455962653E-2</v>
      </c>
      <c r="J27" s="12">
        <f>J26*(1+Returns!B14)</f>
        <v>35077288.941736028</v>
      </c>
      <c r="K27" s="12">
        <f>K26*(1+Returns!C14)</f>
        <v>16327600.671140937</v>
      </c>
      <c r="L27" s="12">
        <f>L26*(1+Returns!D14)</f>
        <v>5653188.1253957069</v>
      </c>
      <c r="M27" s="12">
        <f>M26*(1+Returns!E14)</f>
        <v>19463380.701580036</v>
      </c>
      <c r="N27" s="12">
        <f>N26*(1+Returns!F14)</f>
        <v>10278628.59401245</v>
      </c>
      <c r="O27" s="12">
        <f>O26*(1+Returns!G14)</f>
        <v>10553935.860058306</v>
      </c>
      <c r="P27" s="12">
        <f>P26*(1+Returns!H14)</f>
        <v>10750081.117411654</v>
      </c>
      <c r="Q27" s="12">
        <f t="shared" si="2"/>
        <v>108104104.01133513</v>
      </c>
      <c r="R27" s="12">
        <f t="shared" si="3"/>
        <v>382868.70170681196</v>
      </c>
      <c r="S27" s="12">
        <f t="shared" si="4"/>
        <v>107721235.30962832</v>
      </c>
      <c r="T27" t="b">
        <f t="shared" si="5"/>
        <v>0</v>
      </c>
      <c r="U27" s="12">
        <f t="shared" si="6"/>
        <v>35077288.941736028</v>
      </c>
      <c r="V27" s="12">
        <f>IF($T27=TRUE, $Q27*$C$8, $K27)</f>
        <v>16327600.671140937</v>
      </c>
      <c r="W27" s="12">
        <f>IF($T27=TRUE, $Q27*$C$9, $L27)</f>
        <v>5653188.1253957069</v>
      </c>
      <c r="X27" s="12">
        <f>IF($T27=TRUE, $Q27*$C$10, $M27)</f>
        <v>19463380.701580036</v>
      </c>
      <c r="Y27" s="12">
        <f>IF($T27=TRUE, $Q27*$C$11, $N27)</f>
        <v>10278628.59401245</v>
      </c>
      <c r="Z27" s="12">
        <f>IF($T27=TRUE, $Q27*$C$12, $O27)</f>
        <v>10553935.860058306</v>
      </c>
      <c r="AA27" s="12">
        <f>IF($T27=TRUE, $Q27*$C$13, $P27)</f>
        <v>10750081.117411654</v>
      </c>
      <c r="AB27" s="12">
        <f>U27-(1-$B$3)</f>
        <v>35077287.945277691</v>
      </c>
      <c r="AC27" s="12">
        <f t="shared" si="7"/>
        <v>16269773.752097312</v>
      </c>
      <c r="AD27" s="12">
        <f t="shared" si="7"/>
        <v>5633166.4174515968</v>
      </c>
      <c r="AE27" s="12">
        <f t="shared" si="7"/>
        <v>19394447.894928608</v>
      </c>
      <c r="AF27" s="12">
        <f t="shared" si="7"/>
        <v>10242225.117741989</v>
      </c>
      <c r="AG27" s="12">
        <f t="shared" si="7"/>
        <v>10516557.3372206</v>
      </c>
      <c r="AH27" s="12">
        <f t="shared" si="7"/>
        <v>10712007.913454155</v>
      </c>
      <c r="AI27" s="12">
        <f t="shared" si="8"/>
        <v>107845466.37817195</v>
      </c>
    </row>
    <row r="28" spans="1:35" x14ac:dyDescent="0.2">
      <c r="A28" s="1">
        <f>Returns!A15</f>
        <v>42825</v>
      </c>
      <c r="B28" s="20">
        <f t="shared" si="9"/>
        <v>107721235.30962832</v>
      </c>
      <c r="C28" s="18">
        <f t="shared" si="10"/>
        <v>0.32214499324124218</v>
      </c>
      <c r="D28" s="18">
        <f t="shared" si="1"/>
        <v>0.15463209459299798</v>
      </c>
      <c r="E28" s="18">
        <f t="shared" si="1"/>
        <v>5.3772644354089523E-2</v>
      </c>
      <c r="F28" s="18">
        <f t="shared" si="1"/>
        <v>0.17869599921928403</v>
      </c>
      <c r="G28" s="18">
        <f t="shared" si="1"/>
        <v>9.4020567921387341E-2</v>
      </c>
      <c r="H28" s="18">
        <f t="shared" si="1"/>
        <v>9.4467285236792736E-2</v>
      </c>
      <c r="I28" s="18">
        <f t="shared" si="1"/>
        <v>0.10226641543420606</v>
      </c>
      <c r="J28" s="12">
        <f>J27*(1+Returns!B15)</f>
        <v>35116358.077119075</v>
      </c>
      <c r="K28" s="12">
        <f>K27*(1+Returns!C15)</f>
        <v>16856124.161073823</v>
      </c>
      <c r="L28" s="12">
        <f>L27*(1+Returns!D15)</f>
        <v>5861644.5188012188</v>
      </c>
      <c r="M28" s="12">
        <f>M27*(1+Returns!E15)</f>
        <v>19479280.532644331</v>
      </c>
      <c r="N28" s="12">
        <f>N27*(1+Returns!F15)</f>
        <v>10248987.254223892</v>
      </c>
      <c r="O28" s="12">
        <f>O27*(1+Returns!G15)</f>
        <v>10297682.982967619</v>
      </c>
      <c r="P28" s="12">
        <f>P27*(1+Returns!H15)</f>
        <v>11147850.002317637</v>
      </c>
      <c r="Q28" s="12">
        <f t="shared" si="2"/>
        <v>109007927.52914761</v>
      </c>
      <c r="R28" s="12">
        <f t="shared" si="3"/>
        <v>386069.74333239783</v>
      </c>
      <c r="S28" s="12">
        <f t="shared" si="4"/>
        <v>108621857.78581521</v>
      </c>
      <c r="T28" t="b">
        <f t="shared" si="5"/>
        <v>0</v>
      </c>
      <c r="U28" s="12">
        <f t="shared" si="6"/>
        <v>35116358.077119075</v>
      </c>
      <c r="V28" s="12">
        <f>IF($T28=TRUE, $Q28*$C$8, $K28)</f>
        <v>16856124.161073823</v>
      </c>
      <c r="W28" s="12">
        <f>IF($T28=TRUE, $Q28*$C$9, $L28)</f>
        <v>5861644.5188012188</v>
      </c>
      <c r="X28" s="12">
        <f>IF($T28=TRUE, $Q28*$C$10, $M28)</f>
        <v>19479280.532644331</v>
      </c>
      <c r="Y28" s="12">
        <f>IF($T28=TRUE, $Q28*$C$11, $N28)</f>
        <v>10248987.254223892</v>
      </c>
      <c r="Z28" s="12">
        <f>IF($T28=TRUE, $Q28*$C$12, $O28)</f>
        <v>10297682.982967619</v>
      </c>
      <c r="AA28" s="12">
        <f>IF($T28=TRUE, $Q28*$C$13, $P28)</f>
        <v>11147850.002317637</v>
      </c>
      <c r="AB28" s="12">
        <f>U28-(1-$B$3)</f>
        <v>35116357.080660738</v>
      </c>
      <c r="AC28" s="12">
        <f t="shared" si="7"/>
        <v>16796425.388003353</v>
      </c>
      <c r="AD28" s="12">
        <f t="shared" si="7"/>
        <v>5840884.5277971309</v>
      </c>
      <c r="AE28" s="12">
        <f t="shared" si="7"/>
        <v>19410291.414091215</v>
      </c>
      <c r="AF28" s="12">
        <f t="shared" si="7"/>
        <v>10212688.757698515</v>
      </c>
      <c r="AG28" s="12">
        <f t="shared" si="7"/>
        <v>10261212.022402942</v>
      </c>
      <c r="AH28" s="12">
        <f t="shared" si="7"/>
        <v>11108368.033559429</v>
      </c>
      <c r="AI28" s="12">
        <f t="shared" si="8"/>
        <v>108746227.22421333</v>
      </c>
    </row>
    <row r="29" spans="1:35" x14ac:dyDescent="0.2">
      <c r="A29" s="1">
        <f>Returns!A16</f>
        <v>42855</v>
      </c>
      <c r="B29" s="20">
        <f t="shared" si="9"/>
        <v>108621857.78581521</v>
      </c>
      <c r="C29" s="18">
        <f t="shared" si="10"/>
        <v>0.32127752742757876</v>
      </c>
      <c r="D29" s="18">
        <f>K29/$Q29</f>
        <v>0.15640643110415628</v>
      </c>
      <c r="E29" s="18">
        <f t="shared" si="1"/>
        <v>5.4003596311741953E-2</v>
      </c>
      <c r="F29" s="18">
        <f t="shared" si="1"/>
        <v>0.17837343563876629</v>
      </c>
      <c r="G29" s="18">
        <f t="shared" si="1"/>
        <v>9.3956593743497269E-2</v>
      </c>
      <c r="H29" s="18">
        <f t="shared" si="1"/>
        <v>9.3510245682398532E-2</v>
      </c>
      <c r="I29" s="18">
        <f t="shared" si="1"/>
        <v>0.10247217009186091</v>
      </c>
      <c r="J29" s="12">
        <f>J28*(1+Returns!B16)</f>
        <v>35464582.97944624</v>
      </c>
      <c r="K29" s="12">
        <f>K28*(1+Returns!C16)</f>
        <v>17265100.671140939</v>
      </c>
      <c r="L29" s="12">
        <f>L28*(1+Returns!D16)</f>
        <v>5961248.0148273371</v>
      </c>
      <c r="M29" s="12">
        <f>M28*(1+Returns!E16)</f>
        <v>19689953.294246238</v>
      </c>
      <c r="N29" s="12">
        <f>N28*(1+Returns!F16)</f>
        <v>10371504.792016601</v>
      </c>
      <c r="O29" s="12">
        <f>O28*(1+Returns!G16)</f>
        <v>10322234.156820619</v>
      </c>
      <c r="P29" s="12">
        <f>P28*(1+Returns!H16)</f>
        <v>11311506.311707169</v>
      </c>
      <c r="Q29" s="12">
        <f t="shared" si="2"/>
        <v>110386130.22020514</v>
      </c>
      <c r="R29" s="12">
        <f t="shared" si="3"/>
        <v>390950.87786322657</v>
      </c>
      <c r="S29" s="12">
        <f t="shared" si="4"/>
        <v>109995179.34234191</v>
      </c>
      <c r="T29" t="b">
        <f t="shared" si="5"/>
        <v>0</v>
      </c>
      <c r="U29" s="12">
        <f t="shared" si="6"/>
        <v>35464582.97944624</v>
      </c>
      <c r="V29" s="12">
        <f>IF($T29=TRUE, $Q29*$C$8, $K29)</f>
        <v>17265100.671140939</v>
      </c>
      <c r="W29" s="12">
        <f>IF($T29=TRUE, $Q29*$C$9, $L29)</f>
        <v>5961248.0148273371</v>
      </c>
      <c r="X29" s="12">
        <f>IF($T29=TRUE, $Q29*$C$10, $M29)</f>
        <v>19689953.294246238</v>
      </c>
      <c r="Y29" s="12">
        <f>IF($T29=TRUE, $Q29*$C$11, $N29)</f>
        <v>10371504.792016601</v>
      </c>
      <c r="Z29" s="12">
        <f>IF($T29=TRUE, $Q29*$C$12, $O29)</f>
        <v>10322234.156820619</v>
      </c>
      <c r="AA29" s="12">
        <f>IF($T29=TRUE, $Q29*$C$13, $P29)</f>
        <v>11311506.311707169</v>
      </c>
      <c r="AB29" s="12">
        <f>U29-(1-$B$3)</f>
        <v>35464581.982987903</v>
      </c>
      <c r="AC29" s="12">
        <f t="shared" si="7"/>
        <v>17203953.439597316</v>
      </c>
      <c r="AD29" s="12">
        <f t="shared" si="7"/>
        <v>5940135.2614414906</v>
      </c>
      <c r="AE29" s="12">
        <f t="shared" si="7"/>
        <v>19620218.042995781</v>
      </c>
      <c r="AF29" s="12">
        <f t="shared" si="7"/>
        <v>10334772.379211543</v>
      </c>
      <c r="AG29" s="12">
        <f t="shared" si="7"/>
        <v>10285676.244181881</v>
      </c>
      <c r="AH29" s="12">
        <f t="shared" si="7"/>
        <v>11271444.726853207</v>
      </c>
      <c r="AI29" s="12">
        <f t="shared" si="8"/>
        <v>110120782.07726914</v>
      </c>
    </row>
    <row r="30" spans="1:35" x14ac:dyDescent="0.2">
      <c r="A30" s="1">
        <f>Returns!A17</f>
        <v>42886</v>
      </c>
      <c r="B30" s="20">
        <f t="shared" si="9"/>
        <v>109995179.34234191</v>
      </c>
      <c r="C30" s="18">
        <f t="shared" si="10"/>
        <v>0.32015612085343637</v>
      </c>
      <c r="D30" s="18">
        <f t="shared" si="1"/>
        <v>0.15909174672421056</v>
      </c>
      <c r="E30" s="18">
        <f t="shared" si="1"/>
        <v>5.4567415561966738E-2</v>
      </c>
      <c r="F30" s="18">
        <f t="shared" si="1"/>
        <v>0.17669161671772107</v>
      </c>
      <c r="G30" s="18">
        <f t="shared" si="1"/>
        <v>9.3590559963261488E-2</v>
      </c>
      <c r="H30" s="18">
        <f t="shared" si="1"/>
        <v>9.1199005427722801E-2</v>
      </c>
      <c r="I30" s="18">
        <f t="shared" si="1"/>
        <v>0.10470353475168104</v>
      </c>
      <c r="J30" s="12">
        <f>J29*(1+Returns!B17)</f>
        <v>35972481.73942586</v>
      </c>
      <c r="K30" s="12">
        <f>K29*(1+Returns!C17)</f>
        <v>17875419.463087246</v>
      </c>
      <c r="L30" s="12">
        <f>L29*(1+Returns!D17)</f>
        <v>6131150.4981943322</v>
      </c>
      <c r="M30" s="12">
        <f>M29*(1+Returns!E17)</f>
        <v>19852926.562655263</v>
      </c>
      <c r="N30" s="12">
        <f>N29*(1+Returns!F17)</f>
        <v>10515759.31232092</v>
      </c>
      <c r="O30" s="12">
        <f>O29*(1+Returns!G17)</f>
        <v>10247046.186895808</v>
      </c>
      <c r="P30" s="12">
        <f>P29*(1+Returns!H17)</f>
        <v>11764404.134670351</v>
      </c>
      <c r="Q30" s="12">
        <f t="shared" si="2"/>
        <v>112359187.89724977</v>
      </c>
      <c r="R30" s="12">
        <f t="shared" si="3"/>
        <v>397938.79046942631</v>
      </c>
      <c r="S30" s="12">
        <f t="shared" si="4"/>
        <v>111961249.10678035</v>
      </c>
      <c r="T30" t="b">
        <f t="shared" si="5"/>
        <v>0</v>
      </c>
      <c r="U30" s="12">
        <f t="shared" si="6"/>
        <v>35972481.73942586</v>
      </c>
      <c r="V30" s="12">
        <f>IF($T30=TRUE, $Q30*$C$8, $K30)</f>
        <v>17875419.463087246</v>
      </c>
      <c r="W30" s="12">
        <f>IF($T30=TRUE, $Q30*$C$9, $L30)</f>
        <v>6131150.4981943322</v>
      </c>
      <c r="X30" s="12">
        <f>IF($T30=TRUE, $Q30*$C$10, $M30)</f>
        <v>19852926.562655263</v>
      </c>
      <c r="Y30" s="12">
        <f>IF($T30=TRUE, $Q30*$C$11, $N30)</f>
        <v>10515759.31232092</v>
      </c>
      <c r="Z30" s="12">
        <f>IF($T30=TRUE, $Q30*$C$12, $O30)</f>
        <v>10247046.186895808</v>
      </c>
      <c r="AA30" s="12">
        <f>IF($T30=TRUE, $Q30*$C$13, $P30)</f>
        <v>11764404.134670351</v>
      </c>
      <c r="AB30" s="12">
        <f>U30-(1-$B$3)</f>
        <v>35972480.742967524</v>
      </c>
      <c r="AC30" s="12">
        <f t="shared" si="7"/>
        <v>17812110.685822144</v>
      </c>
      <c r="AD30" s="12">
        <f t="shared" si="7"/>
        <v>6109436.0068465611</v>
      </c>
      <c r="AE30" s="12">
        <f t="shared" si="7"/>
        <v>19782614.114412524</v>
      </c>
      <c r="AF30" s="12">
        <f t="shared" si="7"/>
        <v>10478515.998089783</v>
      </c>
      <c r="AG30" s="12">
        <f t="shared" si="7"/>
        <v>10210754.564983886</v>
      </c>
      <c r="AH30" s="12">
        <f t="shared" si="7"/>
        <v>11722738.536693392</v>
      </c>
      <c r="AI30" s="12">
        <f t="shared" si="8"/>
        <v>112088650.64981581</v>
      </c>
    </row>
    <row r="31" spans="1:35" x14ac:dyDescent="0.2">
      <c r="A31" s="1">
        <f>Returns!A18</f>
        <v>42916</v>
      </c>
      <c r="B31" s="20">
        <f t="shared" si="9"/>
        <v>111961249.10678035</v>
      </c>
      <c r="C31" s="18">
        <f t="shared" si="10"/>
        <v>0.32067680424574391</v>
      </c>
      <c r="D31" s="18">
        <f t="shared" si="1"/>
        <v>0.15883718535903099</v>
      </c>
      <c r="E31" s="18">
        <f t="shared" si="1"/>
        <v>5.4816925251841127E-2</v>
      </c>
      <c r="F31" s="18">
        <f t="shared" si="1"/>
        <v>0.17496707279976839</v>
      </c>
      <c r="G31" s="18">
        <f t="shared" si="1"/>
        <v>9.3573482691046025E-2</v>
      </c>
      <c r="H31" s="18">
        <f t="shared" si="1"/>
        <v>9.2820585761125424E-2</v>
      </c>
      <c r="I31" s="18">
        <f t="shared" si="1"/>
        <v>0.10430794389144418</v>
      </c>
      <c r="J31" s="12">
        <f>J30*(1+Returns!B18)</f>
        <v>36196704.60336335</v>
      </c>
      <c r="K31" s="12">
        <f>K30*(1+Returns!C18)</f>
        <v>17928901.006711408</v>
      </c>
      <c r="L31" s="12">
        <f>L30*(1+Returns!D18)</f>
        <v>6187513.4850258725</v>
      </c>
      <c r="M31" s="12">
        <f>M30*(1+Returns!E18)</f>
        <v>19749577.660737347</v>
      </c>
      <c r="N31" s="12">
        <f>N30*(1+Returns!F18)</f>
        <v>10562197.411322994</v>
      </c>
      <c r="O31" s="12">
        <f>O30*(1+Returns!G18)</f>
        <v>10477213.441767681</v>
      </c>
      <c r="P31" s="12">
        <f>P30*(1+Returns!H18)</f>
        <v>11773860.107229488</v>
      </c>
      <c r="Q31" s="12">
        <f t="shared" si="2"/>
        <v>112875967.71615814</v>
      </c>
      <c r="R31" s="12">
        <f t="shared" si="3"/>
        <v>399769.05232806009</v>
      </c>
      <c r="S31" s="12">
        <f t="shared" si="4"/>
        <v>112476198.66383007</v>
      </c>
      <c r="T31" t="b">
        <f t="shared" si="5"/>
        <v>0</v>
      </c>
      <c r="U31" s="12">
        <f t="shared" si="6"/>
        <v>36196704.60336335</v>
      </c>
      <c r="V31" s="12">
        <f>IF($T31=TRUE, $Q31*$C$8, $K31)</f>
        <v>17928901.006711408</v>
      </c>
      <c r="W31" s="12">
        <f>IF($T31=TRUE, $Q31*$C$9, $L31)</f>
        <v>6187513.4850258725</v>
      </c>
      <c r="X31" s="12">
        <f>IF($T31=TRUE, $Q31*$C$10, $M31)</f>
        <v>19749577.660737347</v>
      </c>
      <c r="Y31" s="12">
        <f>IF($T31=TRUE, $Q31*$C$11, $N31)</f>
        <v>10562197.411322994</v>
      </c>
      <c r="Z31" s="12">
        <f>IF($T31=TRUE, $Q31*$C$12, $O31)</f>
        <v>10477213.441767681</v>
      </c>
      <c r="AA31" s="12">
        <f>IF($T31=TRUE, $Q31*$C$13, $P31)</f>
        <v>11773860.107229488</v>
      </c>
      <c r="AB31" s="12">
        <f>U31-(1-$B$3)</f>
        <v>36196703.606905013</v>
      </c>
      <c r="AC31" s="12">
        <f t="shared" si="7"/>
        <v>17865402.815645974</v>
      </c>
      <c r="AD31" s="12">
        <f t="shared" si="7"/>
        <v>6165599.3747664057</v>
      </c>
      <c r="AE31" s="12">
        <f t="shared" si="7"/>
        <v>19679631.239855569</v>
      </c>
      <c r="AF31" s="12">
        <f t="shared" si="7"/>
        <v>10524789.628824558</v>
      </c>
      <c r="AG31" s="12">
        <f t="shared" si="7"/>
        <v>10440106.64416142</v>
      </c>
      <c r="AH31" s="12">
        <f t="shared" si="7"/>
        <v>11732161.019349717</v>
      </c>
      <c r="AI31" s="12">
        <f t="shared" si="8"/>
        <v>112604394.32950866</v>
      </c>
    </row>
    <row r="32" spans="1:35" x14ac:dyDescent="0.2">
      <c r="A32" s="1">
        <f>Returns!A19</f>
        <v>42947</v>
      </c>
      <c r="B32" s="20">
        <f t="shared" si="9"/>
        <v>112476198.66383007</v>
      </c>
      <c r="C32" s="18">
        <f t="shared" si="10"/>
        <v>0.32099339205594574</v>
      </c>
      <c r="D32" s="18">
        <f t="shared" si="1"/>
        <v>0.15991223088840756</v>
      </c>
      <c r="E32" s="18">
        <f t="shared" si="1"/>
        <v>5.6895946395375221E-2</v>
      </c>
      <c r="F32" s="18">
        <f t="shared" si="1"/>
        <v>0.17224343998780323</v>
      </c>
      <c r="G32" s="18">
        <f t="shared" si="1"/>
        <v>9.2470542315707727E-2</v>
      </c>
      <c r="H32" s="18">
        <f t="shared" si="1"/>
        <v>9.215667818851872E-2</v>
      </c>
      <c r="I32" s="18">
        <f t="shared" si="1"/>
        <v>0.10532777016824173</v>
      </c>
      <c r="J32" s="12">
        <f>J31*(1+Returns!B19)</f>
        <v>36942415.491761513</v>
      </c>
      <c r="K32" s="12">
        <f>K31*(1+Returns!C19)</f>
        <v>18403942.953020133</v>
      </c>
      <c r="L32" s="12">
        <f>L31*(1+Returns!D19)</f>
        <v>6548027.9144456899</v>
      </c>
      <c r="M32" s="12">
        <f>M31*(1+Returns!E19)</f>
        <v>19823114.379409708</v>
      </c>
      <c r="N32" s="12">
        <f>N31*(1+Returns!F19)</f>
        <v>10642229.0287521</v>
      </c>
      <c r="O32" s="12">
        <f>O31*(1+Returns!G19)</f>
        <v>10606107.104495931</v>
      </c>
      <c r="P32" s="12">
        <f>P31*(1+Returns!H19)</f>
        <v>12121938.783393331</v>
      </c>
      <c r="Q32" s="12">
        <f t="shared" si="2"/>
        <v>115087775.65527841</v>
      </c>
      <c r="R32" s="12">
        <f t="shared" si="3"/>
        <v>407602.53877911106</v>
      </c>
      <c r="S32" s="12">
        <f t="shared" si="4"/>
        <v>114680173.1164993</v>
      </c>
      <c r="T32" t="b">
        <f t="shared" si="5"/>
        <v>0</v>
      </c>
      <c r="U32" s="12">
        <f t="shared" si="6"/>
        <v>36942415.491761513</v>
      </c>
      <c r="V32" s="12">
        <f>IF($T32=TRUE, $Q32*$C$8, $K32)</f>
        <v>18403942.953020133</v>
      </c>
      <c r="W32" s="12">
        <f>IF($T32=TRUE, $Q32*$C$9, $L32)</f>
        <v>6548027.9144456899</v>
      </c>
      <c r="X32" s="12">
        <f>IF($T32=TRUE, $Q32*$C$10, $M32)</f>
        <v>19823114.379409708</v>
      </c>
      <c r="Y32" s="12">
        <f>IF($T32=TRUE, $Q32*$C$11, $N32)</f>
        <v>10642229.0287521</v>
      </c>
      <c r="Z32" s="12">
        <f>IF($T32=TRUE, $Q32*$C$12, $O32)</f>
        <v>10606107.104495931</v>
      </c>
      <c r="AA32" s="12">
        <f>IF($T32=TRUE, $Q32*$C$13, $P32)</f>
        <v>12121938.783393331</v>
      </c>
      <c r="AB32" s="12">
        <f>U32-(1-$B$3)</f>
        <v>36942414.495303176</v>
      </c>
      <c r="AC32" s="12">
        <f t="shared" si="7"/>
        <v>18338762.321728189</v>
      </c>
      <c r="AD32" s="12">
        <f t="shared" si="7"/>
        <v>6524836.9822486946</v>
      </c>
      <c r="AE32" s="12">
        <f t="shared" si="7"/>
        <v>19752907.515982632</v>
      </c>
      <c r="AF32" s="12">
        <f t="shared" si="7"/>
        <v>10604537.800941937</v>
      </c>
      <c r="AG32" s="12">
        <f t="shared" si="7"/>
        <v>10568543.808500841</v>
      </c>
      <c r="AH32" s="12">
        <f t="shared" si="7"/>
        <v>12079006.916868813</v>
      </c>
      <c r="AI32" s="12">
        <f t="shared" si="8"/>
        <v>114811009.84157428</v>
      </c>
    </row>
    <row r="33" spans="1:35" x14ac:dyDescent="0.2">
      <c r="A33" s="1">
        <f>Returns!A20</f>
        <v>42978</v>
      </c>
      <c r="B33" s="20">
        <f t="shared" si="9"/>
        <v>114680173.1164993</v>
      </c>
      <c r="C33" s="18">
        <f t="shared" si="10"/>
        <v>0.31974230536545695</v>
      </c>
      <c r="D33" s="18">
        <f t="shared" ref="D33:I75" si="11">K33/$Q33</f>
        <v>0.15874741648515087</v>
      </c>
      <c r="E33" s="18">
        <f t="shared" si="11"/>
        <v>5.7837122402401471E-2</v>
      </c>
      <c r="F33" s="18">
        <f t="shared" si="11"/>
        <v>0.1735636117202819</v>
      </c>
      <c r="G33" s="18">
        <f t="shared" si="11"/>
        <v>9.2449493910734482E-2</v>
      </c>
      <c r="H33" s="18">
        <f t="shared" si="11"/>
        <v>9.1293975232904084E-2</v>
      </c>
      <c r="I33" s="18">
        <f t="shared" si="11"/>
        <v>0.10636607488307041</v>
      </c>
      <c r="J33" s="12">
        <f>J32*(1+Returns!B20)</f>
        <v>37049430.949549869</v>
      </c>
      <c r="K33" s="12">
        <f>K32*(1+Returns!C20)</f>
        <v>18394505.033557046</v>
      </c>
      <c r="L33" s="12">
        <f>L32*(1+Returns!D20)</f>
        <v>6701748.3667644067</v>
      </c>
      <c r="M33" s="12">
        <f>M32*(1+Returns!E20)</f>
        <v>20111298.817450054</v>
      </c>
      <c r="N33" s="12">
        <f>N32*(1+Returns!F20)</f>
        <v>10712380.199585021</v>
      </c>
      <c r="O33" s="12">
        <f>O32*(1+Returns!G20)</f>
        <v>10578487.033911306</v>
      </c>
      <c r="P33" s="12">
        <f>P32*(1+Returns!H20)</f>
        <v>12324933.174703721</v>
      </c>
      <c r="Q33" s="12">
        <f t="shared" si="2"/>
        <v>115872783.57552141</v>
      </c>
      <c r="R33" s="12">
        <f t="shared" si="3"/>
        <v>410382.77516330505</v>
      </c>
      <c r="S33" s="12">
        <f t="shared" si="4"/>
        <v>115462400.8003581</v>
      </c>
      <c r="T33" t="b">
        <f t="shared" si="5"/>
        <v>0</v>
      </c>
      <c r="U33" s="12">
        <f t="shared" si="6"/>
        <v>37049430.949549869</v>
      </c>
      <c r="V33" s="12">
        <f>IF($T33=TRUE, $Q33*$C$8, $K33)</f>
        <v>18394505.033557046</v>
      </c>
      <c r="W33" s="12">
        <f>IF($T33=TRUE, $Q33*$C$9, $L33)</f>
        <v>6701748.3667644067</v>
      </c>
      <c r="X33" s="12">
        <f>IF($T33=TRUE, $Q33*$C$10, $M33)</f>
        <v>20111298.817450054</v>
      </c>
      <c r="Y33" s="12">
        <f>IF($T33=TRUE, $Q33*$C$11, $N33)</f>
        <v>10712380.199585021</v>
      </c>
      <c r="Z33" s="12">
        <f>IF($T33=TRUE, $Q33*$C$12, $O33)</f>
        <v>10578487.033911306</v>
      </c>
      <c r="AA33" s="12">
        <f>IF($T33=TRUE, $Q33*$C$13, $P33)</f>
        <v>12324933.174703721</v>
      </c>
      <c r="AB33" s="12">
        <f>U33-(1-$B$3)</f>
        <v>37049429.953091532</v>
      </c>
      <c r="AC33" s="12">
        <f t="shared" si="7"/>
        <v>18329357.828229863</v>
      </c>
      <c r="AD33" s="12">
        <f t="shared" si="7"/>
        <v>6678013.0079654492</v>
      </c>
      <c r="AE33" s="12">
        <f t="shared" si="7"/>
        <v>20040071.300804917</v>
      </c>
      <c r="AF33" s="12">
        <f t="shared" si="7"/>
        <v>10674440.519711491</v>
      </c>
      <c r="AG33" s="12">
        <f t="shared" si="7"/>
        <v>10541021.558999537</v>
      </c>
      <c r="AH33" s="12">
        <f t="shared" si="7"/>
        <v>12281282.369709978</v>
      </c>
      <c r="AI33" s="12">
        <f t="shared" si="8"/>
        <v>115593616.53851277</v>
      </c>
    </row>
    <row r="34" spans="1:35" x14ac:dyDescent="0.2">
      <c r="A34" s="1">
        <f>Returns!A21</f>
        <v>43008</v>
      </c>
      <c r="B34" s="20">
        <f t="shared" si="9"/>
        <v>115462400.8003581</v>
      </c>
      <c r="C34" s="18">
        <f t="shared" si="10"/>
        <v>0.32435092306237007</v>
      </c>
      <c r="D34" s="18">
        <f t="shared" si="11"/>
        <v>0.16156946608281283</v>
      </c>
      <c r="E34" s="18">
        <f t="shared" si="11"/>
        <v>5.7482956707852056E-2</v>
      </c>
      <c r="F34" s="18">
        <f t="shared" si="11"/>
        <v>0.17008595967472037</v>
      </c>
      <c r="G34" s="18">
        <f t="shared" si="11"/>
        <v>9.187253381913961E-2</v>
      </c>
      <c r="H34" s="18">
        <f t="shared" si="11"/>
        <v>9.0669124066738799E-2</v>
      </c>
      <c r="I34" s="18">
        <f t="shared" si="11"/>
        <v>0.10396903658636622</v>
      </c>
      <c r="J34" s="12">
        <f>J33*(1+Returns!B21)</f>
        <v>37798539.154068299</v>
      </c>
      <c r="K34" s="12">
        <f>K33*(1+Returns!C21)</f>
        <v>18828649.328859061</v>
      </c>
      <c r="L34" s="12">
        <f>L33*(1+Returns!D21)</f>
        <v>6698830.2955917669</v>
      </c>
      <c r="M34" s="12">
        <f>M33*(1+Returns!E21)</f>
        <v>19821126.900526673</v>
      </c>
      <c r="N34" s="12">
        <f>N33*(1+Returns!F21)</f>
        <v>10706451.931627309</v>
      </c>
      <c r="O34" s="12">
        <f>O33*(1+Returns!G21)</f>
        <v>10566211.446984807</v>
      </c>
      <c r="P34" s="12">
        <f>P33*(1+Returns!H21)</f>
        <v>12116129.231624968</v>
      </c>
      <c r="Q34" s="12">
        <f t="shared" si="2"/>
        <v>116535938.28928289</v>
      </c>
      <c r="R34" s="12">
        <f t="shared" si="3"/>
        <v>412731.44810787693</v>
      </c>
      <c r="S34" s="12">
        <f t="shared" si="4"/>
        <v>116123206.841175</v>
      </c>
      <c r="T34" t="b">
        <f t="shared" si="5"/>
        <v>0</v>
      </c>
      <c r="U34" s="12">
        <f t="shared" si="6"/>
        <v>37798539.154068299</v>
      </c>
      <c r="V34" s="12">
        <f>IF($T34=TRUE, $Q34*$C$8, $K34)</f>
        <v>18828649.328859061</v>
      </c>
      <c r="W34" s="12">
        <f>IF($T34=TRUE, $Q34*$C$9, $L34)</f>
        <v>6698830.2955917669</v>
      </c>
      <c r="X34" s="12">
        <f>IF($T34=TRUE, $Q34*$C$10, $M34)</f>
        <v>19821126.900526673</v>
      </c>
      <c r="Y34" s="12">
        <f>IF($T34=TRUE, $Q34*$C$11, $N34)</f>
        <v>10706451.931627309</v>
      </c>
      <c r="Z34" s="12">
        <f>IF($T34=TRUE, $Q34*$C$12, $O34)</f>
        <v>10566211.446984807</v>
      </c>
      <c r="AA34" s="12">
        <f>IF($T34=TRUE, $Q34*$C$13, $P34)</f>
        <v>12116129.231624968</v>
      </c>
      <c r="AB34" s="12">
        <f>U34-(1-$B$3)</f>
        <v>37798538.157609962</v>
      </c>
      <c r="AC34" s="12">
        <f t="shared" si="7"/>
        <v>18761964.529152684</v>
      </c>
      <c r="AD34" s="12">
        <f t="shared" si="7"/>
        <v>6675105.2716282131</v>
      </c>
      <c r="AE34" s="12">
        <f t="shared" si="7"/>
        <v>19750927.076087307</v>
      </c>
      <c r="AF34" s="12">
        <f t="shared" si="7"/>
        <v>10668533.247702796</v>
      </c>
      <c r="AG34" s="12">
        <f t="shared" si="7"/>
        <v>10528789.44811007</v>
      </c>
      <c r="AH34" s="12">
        <f t="shared" si="7"/>
        <v>12073217.940596297</v>
      </c>
      <c r="AI34" s="12">
        <f t="shared" si="8"/>
        <v>116257075.67088734</v>
      </c>
    </row>
    <row r="35" spans="1:35" x14ac:dyDescent="0.2">
      <c r="A35" s="1">
        <f>Returns!A22</f>
        <v>43039</v>
      </c>
      <c r="B35" s="20">
        <f t="shared" si="9"/>
        <v>116123206.841175</v>
      </c>
      <c r="C35" s="18">
        <f t="shared" si="10"/>
        <v>0.3281001244860669</v>
      </c>
      <c r="D35" s="18">
        <f t="shared" si="11"/>
        <v>0.16237867963962882</v>
      </c>
      <c r="E35" s="18">
        <f t="shared" si="11"/>
        <v>5.8676013326737358E-2</v>
      </c>
      <c r="F35" s="18">
        <f t="shared" si="11"/>
        <v>0.16779763393162281</v>
      </c>
      <c r="G35" s="18">
        <f t="shared" si="11"/>
        <v>9.0984718928970879E-2</v>
      </c>
      <c r="H35" s="18">
        <f t="shared" si="11"/>
        <v>8.8648004441112135E-2</v>
      </c>
      <c r="I35" s="18">
        <f t="shared" si="11"/>
        <v>0.10341482524586124</v>
      </c>
      <c r="J35" s="12">
        <f>J34*(1+Returns!B22)</f>
        <v>38686937.31951759</v>
      </c>
      <c r="K35" s="12">
        <f>K34*(1+Returns!C22)</f>
        <v>19146392.617449664</v>
      </c>
      <c r="L35" s="12">
        <f>L34*(1+Returns!D22)</f>
        <v>6918605.2680911571</v>
      </c>
      <c r="M35" s="12">
        <f>M34*(1+Returns!E22)</f>
        <v>19785352.280632008</v>
      </c>
      <c r="N35" s="12">
        <f>N34*(1+Returns!F22)</f>
        <v>10728188.914138919</v>
      </c>
      <c r="O35" s="12">
        <f>O34*(1+Returns!G22)</f>
        <v>10452662.267914684</v>
      </c>
      <c r="P35" s="12">
        <f>P34*(1+Returns!H22)</f>
        <v>12193847.437462332</v>
      </c>
      <c r="Q35" s="12">
        <f t="shared" si="2"/>
        <v>117911986.10520634</v>
      </c>
      <c r="R35" s="12">
        <f t="shared" si="3"/>
        <v>417604.95078927249</v>
      </c>
      <c r="S35" s="12">
        <f t="shared" si="4"/>
        <v>117494381.15441707</v>
      </c>
      <c r="T35" t="b">
        <f t="shared" si="5"/>
        <v>0</v>
      </c>
      <c r="U35" s="12">
        <f t="shared" si="6"/>
        <v>38686937.31951759</v>
      </c>
      <c r="V35" s="12">
        <f>IF($T35=TRUE, $Q35*$C$8, $K35)</f>
        <v>19146392.617449664</v>
      </c>
      <c r="W35" s="12">
        <f>IF($T35=TRUE, $Q35*$C$9, $L35)</f>
        <v>6918605.2680911571</v>
      </c>
      <c r="X35" s="12">
        <f>IF($T35=TRUE, $Q35*$C$10, $M35)</f>
        <v>19785352.280632008</v>
      </c>
      <c r="Y35" s="12">
        <f>IF($T35=TRUE, $Q35*$C$11, $N35)</f>
        <v>10728188.914138919</v>
      </c>
      <c r="Z35" s="12">
        <f>IF($T35=TRUE, $Q35*$C$12, $O35)</f>
        <v>10452662.267914684</v>
      </c>
      <c r="AA35" s="12">
        <f>IF($T35=TRUE, $Q35*$C$13, $P35)</f>
        <v>12193847.437462332</v>
      </c>
      <c r="AB35" s="12">
        <f>U35-(1-$B$3)</f>
        <v>38686936.323059253</v>
      </c>
      <c r="AC35" s="12">
        <f t="shared" si="7"/>
        <v>19078582.476929531</v>
      </c>
      <c r="AD35" s="12">
        <f t="shared" si="7"/>
        <v>6894101.874433334</v>
      </c>
      <c r="AE35" s="12">
        <f t="shared" si="7"/>
        <v>19715279.157971438</v>
      </c>
      <c r="AF35" s="12">
        <f t="shared" si="7"/>
        <v>10690193.24506801</v>
      </c>
      <c r="AG35" s="12">
        <f t="shared" si="7"/>
        <v>10415642.422382487</v>
      </c>
      <c r="AH35" s="12">
        <f t="shared" si="7"/>
        <v>12150660.894454652</v>
      </c>
      <c r="AI35" s="12">
        <f t="shared" si="8"/>
        <v>117631396.39429872</v>
      </c>
    </row>
    <row r="36" spans="1:35" x14ac:dyDescent="0.2">
      <c r="A36" s="1">
        <f>Returns!A23</f>
        <v>43069</v>
      </c>
      <c r="B36" s="20">
        <f t="shared" si="9"/>
        <v>117494381.15441707</v>
      </c>
      <c r="C36" s="18">
        <f t="shared" si="10"/>
        <v>0.33330227681124869</v>
      </c>
      <c r="D36" s="18">
        <f t="shared" si="11"/>
        <v>0.16117326192672107</v>
      </c>
      <c r="E36" s="18">
        <f t="shared" si="11"/>
        <v>5.761785823103218E-2</v>
      </c>
      <c r="F36" s="18">
        <f t="shared" si="11"/>
        <v>0.16496184984423334</v>
      </c>
      <c r="G36" s="18">
        <f t="shared" si="11"/>
        <v>8.9574689339125796E-2</v>
      </c>
      <c r="H36" s="18">
        <f t="shared" si="11"/>
        <v>8.9721625582263112E-2</v>
      </c>
      <c r="I36" s="18">
        <f t="shared" si="11"/>
        <v>0.10364843826537568</v>
      </c>
      <c r="J36" s="12">
        <f>J35*(1+Returns!B23)</f>
        <v>39867504.671309672</v>
      </c>
      <c r="K36" s="12">
        <f>K35*(1+Returns!C23)</f>
        <v>19278523.489932884</v>
      </c>
      <c r="L36" s="12">
        <f>L35*(1+Returns!D23)</f>
        <v>6891882.8102617068</v>
      </c>
      <c r="M36" s="12">
        <f>M35*(1+Returns!E23)</f>
        <v>19731690.350790013</v>
      </c>
      <c r="N36" s="12">
        <f>N35*(1+Returns!F23)</f>
        <v>10714356.288904259</v>
      </c>
      <c r="O36" s="12">
        <f>O35*(1+Returns!G23)</f>
        <v>10731931.870492557</v>
      </c>
      <c r="P36" s="12">
        <f>P35*(1+Returns!H23)</f>
        <v>12397768.884905975</v>
      </c>
      <c r="Q36" s="12">
        <f t="shared" si="2"/>
        <v>119613658.36659709</v>
      </c>
      <c r="R36" s="12">
        <f t="shared" si="3"/>
        <v>423631.70671503135</v>
      </c>
      <c r="S36" s="12">
        <f t="shared" si="4"/>
        <v>119190026.65988205</v>
      </c>
      <c r="T36" t="b">
        <f t="shared" si="5"/>
        <v>0</v>
      </c>
      <c r="U36" s="12">
        <f t="shared" si="6"/>
        <v>39867504.671309672</v>
      </c>
      <c r="V36" s="12">
        <f>IF($T36=TRUE, $Q36*$C$8, $K36)</f>
        <v>19278523.489932884</v>
      </c>
      <c r="W36" s="12">
        <f>IF($T36=TRUE, $Q36*$C$9, $L36)</f>
        <v>6891882.8102617068</v>
      </c>
      <c r="X36" s="12">
        <f>IF($T36=TRUE, $Q36*$C$10, $M36)</f>
        <v>19731690.350790013</v>
      </c>
      <c r="Y36" s="12">
        <f>IF($T36=TRUE, $Q36*$C$11, $N36)</f>
        <v>10714356.288904259</v>
      </c>
      <c r="Z36" s="12">
        <f>IF($T36=TRUE, $Q36*$C$12, $O36)</f>
        <v>10731931.870492557</v>
      </c>
      <c r="AA36" s="12">
        <f>IF($T36=TRUE, $Q36*$C$13, $P36)</f>
        <v>12397768.884905975</v>
      </c>
      <c r="AB36" s="12">
        <f>U36-(1-$B$3)</f>
        <v>39867503.674851336</v>
      </c>
      <c r="AC36" s="12">
        <f t="shared" si="7"/>
        <v>19210245.385906037</v>
      </c>
      <c r="AD36" s="12">
        <f t="shared" si="7"/>
        <v>6867474.0586420298</v>
      </c>
      <c r="AE36" s="12">
        <f t="shared" si="7"/>
        <v>19661807.280797631</v>
      </c>
      <c r="AF36" s="12">
        <f t="shared" si="7"/>
        <v>10676409.610381056</v>
      </c>
      <c r="AG36" s="12">
        <f t="shared" si="7"/>
        <v>10693922.945117896</v>
      </c>
      <c r="AH36" s="12">
        <f t="shared" si="7"/>
        <v>12353860.120105267</v>
      </c>
      <c r="AI36" s="12">
        <f t="shared" si="8"/>
        <v>119331223.07580124</v>
      </c>
    </row>
    <row r="37" spans="1:35" x14ac:dyDescent="0.2">
      <c r="A37" s="1">
        <f>Returns!A24</f>
        <v>43100</v>
      </c>
      <c r="B37" s="20">
        <f t="shared" si="9"/>
        <v>119190026.65988205</v>
      </c>
      <c r="C37" s="18">
        <f t="shared" si="10"/>
        <v>0.33448810304732096</v>
      </c>
      <c r="D37" s="18">
        <f t="shared" si="11"/>
        <v>0.16194453211623111</v>
      </c>
      <c r="E37" s="18">
        <f t="shared" si="11"/>
        <v>5.9281199779474866E-2</v>
      </c>
      <c r="F37" s="18">
        <f t="shared" si="11"/>
        <v>0.16382618394443735</v>
      </c>
      <c r="G37" s="18">
        <f t="shared" si="11"/>
        <v>8.9928757258317546E-2</v>
      </c>
      <c r="H37" s="18">
        <f t="shared" si="11"/>
        <v>8.8820660345136679E-2</v>
      </c>
      <c r="I37" s="18">
        <f t="shared" si="11"/>
        <v>0.10171056350908139</v>
      </c>
      <c r="J37" s="12">
        <f>J36*(1+Returns!B24)</f>
        <v>40351622.218447439</v>
      </c>
      <c r="K37" s="12">
        <f>K36*(1+Returns!C24)</f>
        <v>19536493.288590599</v>
      </c>
      <c r="L37" s="12">
        <f>L36*(1+Returns!D24)</f>
        <v>7151502.7182275113</v>
      </c>
      <c r="M37" s="12">
        <f>M36*(1+Returns!E24)</f>
        <v>19763490.012918603</v>
      </c>
      <c r="N37" s="12">
        <f>N36*(1+Returns!F24)</f>
        <v>10848730.362612391</v>
      </c>
      <c r="O37" s="12">
        <f>O36*(1+Returns!G24)</f>
        <v>10715052.93846862</v>
      </c>
      <c r="P37" s="12">
        <f>P36*(1+Returns!H24)</f>
        <v>12270051.451615389</v>
      </c>
      <c r="Q37" s="12">
        <f t="shared" si="2"/>
        <v>120636942.99088056</v>
      </c>
      <c r="R37" s="12">
        <f t="shared" si="3"/>
        <v>427255.83975936868</v>
      </c>
      <c r="S37" s="12">
        <f t="shared" si="4"/>
        <v>120209687.1511212</v>
      </c>
      <c r="T37" t="b">
        <f t="shared" si="5"/>
        <v>0</v>
      </c>
      <c r="U37" s="12">
        <f t="shared" si="6"/>
        <v>40351622.218447439</v>
      </c>
      <c r="V37" s="12">
        <f>IF($T37=TRUE, $Q37*$C$8, $K37)</f>
        <v>19536493.288590599</v>
      </c>
      <c r="W37" s="12">
        <f>IF($T37=TRUE, $Q37*$C$9, $L37)</f>
        <v>7151502.7182275113</v>
      </c>
      <c r="X37" s="12">
        <f>IF($T37=TRUE, $Q37*$C$10, $M37)</f>
        <v>19763490.012918603</v>
      </c>
      <c r="Y37" s="12">
        <f>IF($T37=TRUE, $Q37*$C$11, $N37)</f>
        <v>10848730.362612391</v>
      </c>
      <c r="Z37" s="12">
        <f>IF($T37=TRUE, $Q37*$C$12, $O37)</f>
        <v>10715052.93846862</v>
      </c>
      <c r="AA37" s="12">
        <f>IF($T37=TRUE, $Q37*$C$13, $P37)</f>
        <v>12270051.451615389</v>
      </c>
      <c r="AB37" s="12">
        <f>U37-(1-$B$3)</f>
        <v>40351621.221989103</v>
      </c>
      <c r="AC37" s="12">
        <f t="shared" si="7"/>
        <v>19467301.541526839</v>
      </c>
      <c r="AD37" s="12">
        <f t="shared" si="7"/>
        <v>7126174.4794337889</v>
      </c>
      <c r="AE37" s="12">
        <f t="shared" si="7"/>
        <v>19693494.319122851</v>
      </c>
      <c r="AF37" s="12">
        <f t="shared" si="7"/>
        <v>10810307.775911473</v>
      </c>
      <c r="AG37" s="12">
        <f t="shared" si="7"/>
        <v>10677103.792644877</v>
      </c>
      <c r="AH37" s="12">
        <f t="shared" si="7"/>
        <v>12226595.019390918</v>
      </c>
      <c r="AI37" s="12">
        <f t="shared" si="8"/>
        <v>120352598.15001985</v>
      </c>
    </row>
    <row r="38" spans="1:35" x14ac:dyDescent="0.2">
      <c r="A38" s="1">
        <f>Returns!A25</f>
        <v>43131</v>
      </c>
      <c r="B38" s="20">
        <f t="shared" si="9"/>
        <v>120209687.1511212</v>
      </c>
      <c r="C38" s="18">
        <f t="shared" si="10"/>
        <v>0.34478970159552275</v>
      </c>
      <c r="D38" s="18">
        <f t="shared" si="11"/>
        <v>0.16597735877042841</v>
      </c>
      <c r="E38" s="18">
        <f t="shared" si="11"/>
        <v>6.265023924152914E-2</v>
      </c>
      <c r="F38" s="18">
        <f t="shared" si="11"/>
        <v>0.15648124357642995</v>
      </c>
      <c r="G38" s="18">
        <f t="shared" si="11"/>
        <v>8.6648083644098442E-2</v>
      </c>
      <c r="H38" s="18">
        <f t="shared" si="11"/>
        <v>8.2991133022901328E-2</v>
      </c>
      <c r="I38" s="18">
        <f t="shared" si="11"/>
        <v>0.10046224014908994</v>
      </c>
      <c r="J38" s="12">
        <f>J37*(1+Returns!B25)</f>
        <v>42622728.044844583</v>
      </c>
      <c r="K38" s="12">
        <f>K37*(1+Returns!C25)</f>
        <v>20518036.912751671</v>
      </c>
      <c r="L38" s="12">
        <f>L37*(1+Returns!D25)</f>
        <v>7744790.8008248415</v>
      </c>
      <c r="M38" s="12">
        <f>M37*(1+Returns!E25)</f>
        <v>19344131.968597826</v>
      </c>
      <c r="N38" s="12">
        <f>N37*(1+Returns!F25)</f>
        <v>10711392.154925404</v>
      </c>
      <c r="O38" s="12">
        <f>O37*(1+Returns!G25)</f>
        <v>10259321.773822311</v>
      </c>
      <c r="P38" s="12">
        <f>P37*(1+Returns!H25)</f>
        <v>12419091.1759707</v>
      </c>
      <c r="Q38" s="12">
        <f t="shared" si="2"/>
        <v>123619492.83173734</v>
      </c>
      <c r="R38" s="12">
        <f t="shared" si="3"/>
        <v>437819.03711240314</v>
      </c>
      <c r="S38" s="12">
        <f t="shared" si="4"/>
        <v>123181673.79462494</v>
      </c>
      <c r="T38" t="b">
        <f t="shared" si="5"/>
        <v>0</v>
      </c>
      <c r="U38" s="12">
        <f t="shared" si="6"/>
        <v>42622728.044844583</v>
      </c>
      <c r="V38" s="12">
        <f>IF($T38=TRUE, $Q38*$C$8, $K38)</f>
        <v>20518036.912751671</v>
      </c>
      <c r="W38" s="12">
        <f>IF($T38=TRUE, $Q38*$C$9, $L38)</f>
        <v>7744790.8008248415</v>
      </c>
      <c r="X38" s="12">
        <f>IF($T38=TRUE, $Q38*$C$10, $M38)</f>
        <v>19344131.968597826</v>
      </c>
      <c r="Y38" s="12">
        <f>IF($T38=TRUE, $Q38*$C$11, $N38)</f>
        <v>10711392.154925404</v>
      </c>
      <c r="Z38" s="12">
        <f>IF($T38=TRUE, $Q38*$C$12, $O38)</f>
        <v>10259321.773822311</v>
      </c>
      <c r="AA38" s="12">
        <f>IF($T38=TRUE, $Q38*$C$13, $P38)</f>
        <v>12419091.1759707</v>
      </c>
      <c r="AB38" s="12">
        <f>U38-(1-$B$3)</f>
        <v>42622727.048386246</v>
      </c>
      <c r="AC38" s="12">
        <f t="shared" si="7"/>
        <v>20445368.865352344</v>
      </c>
      <c r="AD38" s="12">
        <f t="shared" si="7"/>
        <v>7717361.3334052535</v>
      </c>
      <c r="AE38" s="12">
        <f t="shared" si="7"/>
        <v>19275621.501209043</v>
      </c>
      <c r="AF38" s="12">
        <f t="shared" si="7"/>
        <v>10673455.97437671</v>
      </c>
      <c r="AG38" s="12">
        <f t="shared" si="7"/>
        <v>10222986.675873358</v>
      </c>
      <c r="AH38" s="12">
        <f t="shared" si="7"/>
        <v>12375106.894722471</v>
      </c>
      <c r="AI38" s="12">
        <f t="shared" si="8"/>
        <v>123332628.29332542</v>
      </c>
    </row>
    <row r="39" spans="1:35" x14ac:dyDescent="0.2">
      <c r="A39" s="1">
        <f>Returns!A26</f>
        <v>43159</v>
      </c>
      <c r="B39" s="20">
        <f t="shared" si="9"/>
        <v>123181673.79462494</v>
      </c>
      <c r="C39" s="18">
        <f t="shared" si="10"/>
        <v>0.34641947705320347</v>
      </c>
      <c r="D39" s="18">
        <f t="shared" si="11"/>
        <v>0.16468000763052965</v>
      </c>
      <c r="E39" s="18">
        <f t="shared" si="11"/>
        <v>6.146459076489761E-2</v>
      </c>
      <c r="F39" s="18">
        <f t="shared" si="11"/>
        <v>0.16159530052452767</v>
      </c>
      <c r="G39" s="18">
        <f t="shared" si="11"/>
        <v>8.8342258056771331E-2</v>
      </c>
      <c r="H39" s="18">
        <f t="shared" si="11"/>
        <v>7.988268920342638E-2</v>
      </c>
      <c r="I39" s="18">
        <f t="shared" si="11"/>
        <v>9.7615676766643858E-2</v>
      </c>
      <c r="J39" s="12">
        <f>J38*(1+Returns!B26)</f>
        <v>41076949.210124016</v>
      </c>
      <c r="K39" s="12">
        <f>K38*(1+Returns!C26)</f>
        <v>19527055.369127512</v>
      </c>
      <c r="L39" s="12">
        <f>L38*(1+Returns!D26)</f>
        <v>7288209.9313457441</v>
      </c>
      <c r="M39" s="12">
        <f>M38*(1+Returns!E26)</f>
        <v>19161283.911358435</v>
      </c>
      <c r="N39" s="12">
        <f>N38*(1+Returns!F26)</f>
        <v>10475249.481276555</v>
      </c>
      <c r="O39" s="12">
        <f>O38*(1+Returns!G26)</f>
        <v>9472149.7621605042</v>
      </c>
      <c r="P39" s="12">
        <f>P38*(1+Returns!H26)</f>
        <v>11574852.057292063</v>
      </c>
      <c r="Q39" s="12">
        <f t="shared" si="2"/>
        <v>118575749.72268483</v>
      </c>
      <c r="R39" s="12">
        <f t="shared" si="3"/>
        <v>419955.78026784211</v>
      </c>
      <c r="S39" s="12">
        <f t="shared" si="4"/>
        <v>118155793.942417</v>
      </c>
      <c r="T39" t="b">
        <f t="shared" si="5"/>
        <v>0</v>
      </c>
      <c r="U39" s="12">
        <f t="shared" si="6"/>
        <v>41076949.210124016</v>
      </c>
      <c r="V39" s="12">
        <f>IF($T39=TRUE, $Q39*$C$8, $K39)</f>
        <v>19527055.369127512</v>
      </c>
      <c r="W39" s="12">
        <f>IF($T39=TRUE, $Q39*$C$9, $L39)</f>
        <v>7288209.9313457441</v>
      </c>
      <c r="X39" s="12">
        <f>IF($T39=TRUE, $Q39*$C$10, $M39)</f>
        <v>19161283.911358435</v>
      </c>
      <c r="Y39" s="12">
        <f>IF($T39=TRUE, $Q39*$C$11, $N39)</f>
        <v>10475249.481276555</v>
      </c>
      <c r="Z39" s="12">
        <f>IF($T39=TRUE, $Q39*$C$12, $O39)</f>
        <v>9472149.7621605042</v>
      </c>
      <c r="AA39" s="12">
        <f>IF($T39=TRUE, $Q39*$C$13, $P39)</f>
        <v>11574852.057292063</v>
      </c>
      <c r="AB39" s="12">
        <f>U39-(1-$B$3)</f>
        <v>41076948.213665679</v>
      </c>
      <c r="AC39" s="12">
        <f t="shared" si="7"/>
        <v>19457897.048028518</v>
      </c>
      <c r="AD39" s="12">
        <f t="shared" si="7"/>
        <v>7262397.5211722283</v>
      </c>
      <c r="AE39" s="12">
        <f t="shared" si="7"/>
        <v>19093421.030839041</v>
      </c>
      <c r="AF39" s="12">
        <f t="shared" si="7"/>
        <v>10438149.639363701</v>
      </c>
      <c r="AG39" s="12">
        <f t="shared" si="7"/>
        <v>9438602.5650861859</v>
      </c>
      <c r="AH39" s="12">
        <f t="shared" si="7"/>
        <v>11533857.789589154</v>
      </c>
      <c r="AI39" s="12">
        <f t="shared" si="8"/>
        <v>118301273.8077445</v>
      </c>
    </row>
    <row r="40" spans="1:35" x14ac:dyDescent="0.2">
      <c r="A40" s="1">
        <f>Returns!A27</f>
        <v>43190</v>
      </c>
      <c r="B40" s="20">
        <f t="shared" si="9"/>
        <v>118155793.942417</v>
      </c>
      <c r="C40" s="18">
        <f t="shared" si="10"/>
        <v>0.33849081483796084</v>
      </c>
      <c r="D40" s="18">
        <f t="shared" si="11"/>
        <v>0.16405394424891312</v>
      </c>
      <c r="E40" s="18">
        <f t="shared" si="11"/>
        <v>6.2082958483819749E-2</v>
      </c>
      <c r="F40" s="18">
        <f t="shared" si="11"/>
        <v>0.16424376085830003</v>
      </c>
      <c r="G40" s="18">
        <f t="shared" si="11"/>
        <v>8.92521856377642E-2</v>
      </c>
      <c r="H40" s="18">
        <f t="shared" si="11"/>
        <v>8.3371406005103121E-2</v>
      </c>
      <c r="I40" s="18">
        <f t="shared" si="11"/>
        <v>9.8504929928138946E-2</v>
      </c>
      <c r="J40" s="12">
        <f>J39*(1+Returns!B27)</f>
        <v>39952437.5743163</v>
      </c>
      <c r="K40" s="12">
        <f>K39*(1+Returns!C27)</f>
        <v>19363464.765100665</v>
      </c>
      <c r="L40" s="12">
        <f>L39*(1+Returns!D27)</f>
        <v>7327718.8464953071</v>
      </c>
      <c r="M40" s="12">
        <f>M39*(1+Returns!E27)</f>
        <v>19385869.025141604</v>
      </c>
      <c r="N40" s="12">
        <f>N39*(1+Returns!F27)</f>
        <v>10534532.160853673</v>
      </c>
      <c r="O40" s="12">
        <f>O39*(1+Returns!G27)</f>
        <v>9840417.3699555025</v>
      </c>
      <c r="P40" s="12">
        <f>P39*(1+Returns!H27)</f>
        <v>11626643.593269566</v>
      </c>
      <c r="Q40" s="12">
        <f t="shared" si="2"/>
        <v>118031083.33513261</v>
      </c>
      <c r="R40" s="12">
        <f t="shared" si="3"/>
        <v>418026.75347859471</v>
      </c>
      <c r="S40" s="12">
        <f t="shared" si="4"/>
        <v>117613056.58165401</v>
      </c>
      <c r="T40" t="b">
        <f t="shared" si="5"/>
        <v>0</v>
      </c>
      <c r="U40" s="12">
        <f t="shared" si="6"/>
        <v>39952437.5743163</v>
      </c>
      <c r="V40" s="12">
        <f>IF($T40=TRUE, $Q40*$C$8, $K40)</f>
        <v>19363464.765100665</v>
      </c>
      <c r="W40" s="12">
        <f>IF($T40=TRUE, $Q40*$C$9, $L40)</f>
        <v>7327718.8464953071</v>
      </c>
      <c r="X40" s="12">
        <f>IF($T40=TRUE, $Q40*$C$10, $M40)</f>
        <v>19385869.025141604</v>
      </c>
      <c r="Y40" s="12">
        <f>IF($T40=TRUE, $Q40*$C$11, $N40)</f>
        <v>10534532.160853673</v>
      </c>
      <c r="Z40" s="12">
        <f>IF($T40=TRUE, $Q40*$C$12, $O40)</f>
        <v>9840417.3699555025</v>
      </c>
      <c r="AA40" s="12">
        <f>IF($T40=TRUE, $Q40*$C$13, $P40)</f>
        <v>11626643.593269566</v>
      </c>
      <c r="AB40" s="12">
        <f>U40-(1-$B$3)</f>
        <v>39952436.577857964</v>
      </c>
      <c r="AC40" s="12">
        <f t="shared" si="7"/>
        <v>19294885.827390935</v>
      </c>
      <c r="AD40" s="12">
        <f t="shared" si="7"/>
        <v>7301766.5089139696</v>
      </c>
      <c r="AE40" s="12">
        <f t="shared" si="7"/>
        <v>19317210.739010893</v>
      </c>
      <c r="AF40" s="12">
        <f t="shared" si="7"/>
        <v>10497222.359450649</v>
      </c>
      <c r="AG40" s="12">
        <f t="shared" si="7"/>
        <v>9805565.8917702436</v>
      </c>
      <c r="AH40" s="12">
        <f t="shared" si="7"/>
        <v>11585465.897210069</v>
      </c>
      <c r="AI40" s="12">
        <f t="shared" si="8"/>
        <v>117754553.80160472</v>
      </c>
    </row>
    <row r="41" spans="1:35" x14ac:dyDescent="0.2">
      <c r="A41" s="1">
        <f>Returns!A28</f>
        <v>43220</v>
      </c>
      <c r="B41" s="20">
        <f t="shared" si="9"/>
        <v>117613056.58165401</v>
      </c>
      <c r="C41" s="18">
        <f t="shared" si="10"/>
        <v>0.33968638696271891</v>
      </c>
      <c r="D41" s="18">
        <f t="shared" si="11"/>
        <v>0.16627261977041094</v>
      </c>
      <c r="E41" s="18">
        <f t="shared" si="11"/>
        <v>6.0239234702086468E-2</v>
      </c>
      <c r="F41" s="18">
        <f t="shared" si="11"/>
        <v>0.16186886104644654</v>
      </c>
      <c r="G41" s="18">
        <f t="shared" si="11"/>
        <v>8.7675200893718691E-2</v>
      </c>
      <c r="H41" s="18">
        <f t="shared" si="11"/>
        <v>8.3929123106119663E-2</v>
      </c>
      <c r="I41" s="18">
        <f t="shared" si="11"/>
        <v>0.10032857351849878</v>
      </c>
      <c r="J41" s="12">
        <f>J40*(1+Returns!B28)</f>
        <v>40156276.541532204</v>
      </c>
      <c r="K41" s="12">
        <f>K40*(1+Returns!C28)</f>
        <v>19656040.268456373</v>
      </c>
      <c r="L41" s="12">
        <f>L40*(1+Returns!D28)</f>
        <v>7121225.5191513887</v>
      </c>
      <c r="M41" s="12">
        <f>M40*(1+Returns!E28)</f>
        <v>19135446.685878959</v>
      </c>
      <c r="N41" s="12">
        <f>N40*(1+Returns!F28)</f>
        <v>10364588.479399271</v>
      </c>
      <c r="O41" s="12">
        <f>O40*(1+Returns!G28)</f>
        <v>9921743.1333435643</v>
      </c>
      <c r="P41" s="12">
        <f>P40*(1+Returns!H28)</f>
        <v>11860416.24820382</v>
      </c>
      <c r="Q41" s="12">
        <f t="shared" si="2"/>
        <v>118215736.87596558</v>
      </c>
      <c r="R41" s="12">
        <f t="shared" si="3"/>
        <v>418680.73476904479</v>
      </c>
      <c r="S41" s="12">
        <f t="shared" si="4"/>
        <v>117797056.14119653</v>
      </c>
      <c r="T41" t="b">
        <f t="shared" si="5"/>
        <v>0</v>
      </c>
      <c r="U41" s="12">
        <f t="shared" si="6"/>
        <v>40156276.541532204</v>
      </c>
      <c r="V41" s="12">
        <f>IF($T41=TRUE, $Q41*$C$8, $K41)</f>
        <v>19656040.268456373</v>
      </c>
      <c r="W41" s="12">
        <f>IF($T41=TRUE, $Q41*$C$9, $L41)</f>
        <v>7121225.5191513887</v>
      </c>
      <c r="X41" s="12">
        <f>IF($T41=TRUE, $Q41*$C$10, $M41)</f>
        <v>19135446.685878959</v>
      </c>
      <c r="Y41" s="12">
        <f>IF($T41=TRUE, $Q41*$C$11, $N41)</f>
        <v>10364588.479399271</v>
      </c>
      <c r="Z41" s="12">
        <f>IF($T41=TRUE, $Q41*$C$12, $O41)</f>
        <v>9921743.1333435643</v>
      </c>
      <c r="AA41" s="12">
        <f>IF($T41=TRUE, $Q41*$C$13, $P41)</f>
        <v>11860416.24820382</v>
      </c>
      <c r="AB41" s="12">
        <f>U41-(1-$B$3)</f>
        <v>40156275.545073867</v>
      </c>
      <c r="AC41" s="12">
        <f t="shared" si="7"/>
        <v>19586425.125838924</v>
      </c>
      <c r="AD41" s="12">
        <f t="shared" si="7"/>
        <v>7096004.5121043939</v>
      </c>
      <c r="AE41" s="12">
        <f t="shared" si="7"/>
        <v>19067675.312199805</v>
      </c>
      <c r="AF41" s="12">
        <f t="shared" si="7"/>
        <v>10327880.561868066</v>
      </c>
      <c r="AG41" s="12">
        <f t="shared" si="7"/>
        <v>9886603.6264129728</v>
      </c>
      <c r="AH41" s="12">
        <f t="shared" si="7"/>
        <v>11818410.607324764</v>
      </c>
      <c r="AI41" s="12">
        <f t="shared" si="8"/>
        <v>117939275.29082279</v>
      </c>
    </row>
    <row r="42" spans="1:35" x14ac:dyDescent="0.2">
      <c r="A42" s="1">
        <f>Returns!A29</f>
        <v>43251</v>
      </c>
      <c r="B42" s="20">
        <f t="shared" si="9"/>
        <v>117797056.14119653</v>
      </c>
      <c r="C42" s="18">
        <f t="shared" si="10"/>
        <v>0.34551579395946463</v>
      </c>
      <c r="D42" s="18">
        <f t="shared" si="11"/>
        <v>0.16199177105549648</v>
      </c>
      <c r="E42" s="18">
        <f t="shared" si="11"/>
        <v>5.8249443838755813E-2</v>
      </c>
      <c r="F42" s="18">
        <f t="shared" si="11"/>
        <v>0.16233977506588776</v>
      </c>
      <c r="G42" s="18">
        <f t="shared" si="11"/>
        <v>8.7535252311079767E-2</v>
      </c>
      <c r="H42" s="18">
        <f t="shared" si="11"/>
        <v>8.6409949508188699E-2</v>
      </c>
      <c r="I42" s="18">
        <f t="shared" si="11"/>
        <v>9.7958014261127005E-2</v>
      </c>
      <c r="J42" s="12">
        <f>J41*(1+Returns!B29)</f>
        <v>41133004.92610839</v>
      </c>
      <c r="K42" s="12">
        <f>K41*(1+Returns!C29)</f>
        <v>19284815.436241608</v>
      </c>
      <c r="L42" s="12">
        <f>L41*(1+Returns!D29)</f>
        <v>6934486.6493822532</v>
      </c>
      <c r="M42" s="12">
        <f>M41*(1+Returns!E29)</f>
        <v>19326244.658650495</v>
      </c>
      <c r="N42" s="12">
        <f>N41*(1+Returns!F29)</f>
        <v>10420907.024997532</v>
      </c>
      <c r="O42" s="12">
        <f>O41*(1+Returns!G29)</f>
        <v>10286941.844406938</v>
      </c>
      <c r="P42" s="12">
        <f>P41*(1+Returns!H29)</f>
        <v>11661717.216977481</v>
      </c>
      <c r="Q42" s="12">
        <f t="shared" si="2"/>
        <v>119048117.75676468</v>
      </c>
      <c r="R42" s="12">
        <f t="shared" si="3"/>
        <v>421628.75038854161</v>
      </c>
      <c r="S42" s="12">
        <f t="shared" si="4"/>
        <v>118626489.00637613</v>
      </c>
      <c r="T42" t="b">
        <f t="shared" si="5"/>
        <v>0</v>
      </c>
      <c r="U42" s="12">
        <f t="shared" si="6"/>
        <v>41133004.92610839</v>
      </c>
      <c r="V42" s="12">
        <f>IF($T42=TRUE, $Q42*$C$8, $K42)</f>
        <v>19284815.436241608</v>
      </c>
      <c r="W42" s="12">
        <f>IF($T42=TRUE, $Q42*$C$9, $L42)</f>
        <v>6934486.6493822532</v>
      </c>
      <c r="X42" s="12">
        <f>IF($T42=TRUE, $Q42*$C$10, $M42)</f>
        <v>19326244.658650495</v>
      </c>
      <c r="Y42" s="12">
        <f>IF($T42=TRUE, $Q42*$C$11, $N42)</f>
        <v>10420907.024997532</v>
      </c>
      <c r="Z42" s="12">
        <f>IF($T42=TRUE, $Q42*$C$12, $O42)</f>
        <v>10286941.844406938</v>
      </c>
      <c r="AA42" s="12">
        <f>IF($T42=TRUE, $Q42*$C$13, $P42)</f>
        <v>11661717.216977481</v>
      </c>
      <c r="AB42" s="12">
        <f>U42-(1-$B$3)</f>
        <v>41133003.929650053</v>
      </c>
      <c r="AC42" s="12">
        <f t="shared" si="7"/>
        <v>19216515.048238251</v>
      </c>
      <c r="AD42" s="12">
        <f t="shared" si="7"/>
        <v>6909927.0091656912</v>
      </c>
      <c r="AE42" s="12">
        <f t="shared" si="7"/>
        <v>19257797.542151108</v>
      </c>
      <c r="AF42" s="12">
        <f t="shared" si="7"/>
        <v>10383999.645950666</v>
      </c>
      <c r="AG42" s="12">
        <f t="shared" si="7"/>
        <v>10250508.925374664</v>
      </c>
      <c r="AH42" s="12">
        <f t="shared" si="7"/>
        <v>11620415.301834019</v>
      </c>
      <c r="AI42" s="12">
        <f t="shared" si="8"/>
        <v>118772167.40236443</v>
      </c>
    </row>
    <row r="43" spans="1:35" x14ac:dyDescent="0.2">
      <c r="A43" s="1">
        <f>Returns!A30</f>
        <v>43281</v>
      </c>
      <c r="B43" s="20">
        <f t="shared" si="9"/>
        <v>118626489.00637613</v>
      </c>
      <c r="C43" s="18">
        <f t="shared" si="10"/>
        <v>0.34690168372093838</v>
      </c>
      <c r="D43" s="18">
        <f t="shared" si="11"/>
        <v>0.15910835754985336</v>
      </c>
      <c r="E43" s="18">
        <f t="shared" si="11"/>
        <v>5.5500637025644367E-2</v>
      </c>
      <c r="F43" s="18">
        <f t="shared" si="11"/>
        <v>0.16235731964740607</v>
      </c>
      <c r="G43" s="18">
        <f t="shared" si="11"/>
        <v>8.6934924728240492E-2</v>
      </c>
      <c r="H43" s="18">
        <f t="shared" si="11"/>
        <v>8.9865984587611594E-2</v>
      </c>
      <c r="I43" s="18">
        <f t="shared" si="11"/>
        <v>9.933109274030566E-2</v>
      </c>
      <c r="J43" s="12">
        <f>J42*(1+Returns!B30)</f>
        <v>41374214.370647199</v>
      </c>
      <c r="K43" s="12">
        <f>K42*(1+Returns!C30)</f>
        <v>18976510.067114092</v>
      </c>
      <c r="L43" s="12">
        <f>L42*(1+Returns!D30)</f>
        <v>6619441.0744161196</v>
      </c>
      <c r="M43" s="12">
        <f>M42*(1+Returns!E30)</f>
        <v>19364006.757428195</v>
      </c>
      <c r="N43" s="12">
        <f>N42*(1+Returns!F30)</f>
        <v>10368540.658037746</v>
      </c>
      <c r="O43" s="12">
        <f>O42*(1+Returns!G30)</f>
        <v>10718121.835200246</v>
      </c>
      <c r="P43" s="12">
        <f>P42*(1+Returns!H30)</f>
        <v>11847004.836142821</v>
      </c>
      <c r="Q43" s="12">
        <f t="shared" si="2"/>
        <v>119267839.59898643</v>
      </c>
      <c r="R43" s="12">
        <f t="shared" si="3"/>
        <v>422406.93191307696</v>
      </c>
      <c r="S43" s="12">
        <f t="shared" si="4"/>
        <v>118845432.66707335</v>
      </c>
      <c r="T43" t="b">
        <f t="shared" si="5"/>
        <v>0</v>
      </c>
      <c r="U43" s="12">
        <f t="shared" si="6"/>
        <v>41374214.370647199</v>
      </c>
      <c r="V43" s="12">
        <f>IF($T43=TRUE, $Q43*$C$8, $K43)</f>
        <v>18976510.067114092</v>
      </c>
      <c r="W43" s="12">
        <f>IF($T43=TRUE, $Q43*$C$9, $L43)</f>
        <v>6619441.0744161196</v>
      </c>
      <c r="X43" s="12">
        <f>IF($T43=TRUE, $Q43*$C$10, $M43)</f>
        <v>19364006.757428195</v>
      </c>
      <c r="Y43" s="12">
        <f>IF($T43=TRUE, $Q43*$C$11, $N43)</f>
        <v>10368540.658037746</v>
      </c>
      <c r="Z43" s="12">
        <f>IF($T43=TRUE, $Q43*$C$12, $O43)</f>
        <v>10718121.835200246</v>
      </c>
      <c r="AA43" s="12">
        <f>IF($T43=TRUE, $Q43*$C$13, $P43)</f>
        <v>11847004.836142821</v>
      </c>
      <c r="AB43" s="12">
        <f>U43-(1-$B$3)</f>
        <v>41374213.374188863</v>
      </c>
      <c r="AC43" s="12">
        <f t="shared" si="7"/>
        <v>18909301.59395973</v>
      </c>
      <c r="AD43" s="12">
        <f t="shared" si="7"/>
        <v>6595997.2206108961</v>
      </c>
      <c r="AE43" s="12">
        <f t="shared" si="7"/>
        <v>19295425.900162306</v>
      </c>
      <c r="AF43" s="12">
        <f t="shared" si="7"/>
        <v>10331818.743207196</v>
      </c>
      <c r="AG43" s="12">
        <f t="shared" si="7"/>
        <v>10680161.820367245</v>
      </c>
      <c r="AH43" s="12">
        <f t="shared" si="7"/>
        <v>11805046.694014816</v>
      </c>
      <c r="AI43" s="12">
        <f t="shared" si="8"/>
        <v>118991965.34651105</v>
      </c>
    </row>
    <row r="44" spans="1:35" x14ac:dyDescent="0.2">
      <c r="A44" s="1">
        <f>Returns!A31</f>
        <v>43312</v>
      </c>
      <c r="B44" s="20">
        <f t="shared" si="9"/>
        <v>118845432.66707335</v>
      </c>
      <c r="C44" s="18">
        <f t="shared" si="10"/>
        <v>0.35198490057508874</v>
      </c>
      <c r="D44" s="18">
        <f t="shared" si="11"/>
        <v>0.16010744408100139</v>
      </c>
      <c r="E44" s="18">
        <f t="shared" si="11"/>
        <v>5.6217961082669896E-2</v>
      </c>
      <c r="F44" s="18">
        <f t="shared" si="11"/>
        <v>0.15799954623136808</v>
      </c>
      <c r="G44" s="18">
        <f t="shared" si="11"/>
        <v>8.6246949136993892E-2</v>
      </c>
      <c r="H44" s="18">
        <f t="shared" si="11"/>
        <v>8.845185711236464E-2</v>
      </c>
      <c r="I44" s="18">
        <f t="shared" si="11"/>
        <v>9.8991341780513206E-2</v>
      </c>
      <c r="J44" s="12">
        <f>J43*(1+Returns!B31)</f>
        <v>42908102.59894684</v>
      </c>
      <c r="K44" s="12">
        <f>K43*(1+Returns!C31)</f>
        <v>19517617.449664429</v>
      </c>
      <c r="L44" s="12">
        <f>L43*(1+Returns!D31)</f>
        <v>6853152.0474248463</v>
      </c>
      <c r="M44" s="12">
        <f>M43*(1+Returns!E31)</f>
        <v>19260657.855510276</v>
      </c>
      <c r="N44" s="12">
        <f>N43*(1+Returns!F31)</f>
        <v>10513783.223001683</v>
      </c>
      <c r="O44" s="12">
        <f>O43*(1+Returns!G31)</f>
        <v>10782568.666564371</v>
      </c>
      <c r="P44" s="12">
        <f>P43*(1+Returns!H31)</f>
        <v>12067366.07901608</v>
      </c>
      <c r="Q44" s="12">
        <f t="shared" si="2"/>
        <v>121903247.92012854</v>
      </c>
      <c r="R44" s="12">
        <f t="shared" si="3"/>
        <v>431740.66971712193</v>
      </c>
      <c r="S44" s="12">
        <f t="shared" si="4"/>
        <v>121471507.25041142</v>
      </c>
      <c r="T44" t="b">
        <f t="shared" si="5"/>
        <v>1</v>
      </c>
      <c r="U44" s="12">
        <f t="shared" si="6"/>
        <v>36570974.376038559</v>
      </c>
      <c r="V44" s="12">
        <f>IF($T44=TRUE, $Q44*$C$8, $K44)</f>
        <v>18285487.188019279</v>
      </c>
      <c r="W44" s="12">
        <f>IF($T44=TRUE, $Q44*$C$9, $L44)</f>
        <v>6095162.3960064277</v>
      </c>
      <c r="X44" s="12">
        <f>IF($T44=TRUE, $Q44*$C$10, $M44)</f>
        <v>24380649.584025711</v>
      </c>
      <c r="Y44" s="12">
        <f>IF($T44=TRUE, $Q44*$C$11, $N44)</f>
        <v>12190324.792012855</v>
      </c>
      <c r="Z44" s="12">
        <f>IF($T44=TRUE, $Q44*$C$12, $O44)</f>
        <v>12190324.792012855</v>
      </c>
      <c r="AA44" s="12">
        <f>IF($T44=TRUE, $Q44*$C$13, $P44)</f>
        <v>12190324.792012855</v>
      </c>
      <c r="AB44" s="12">
        <f>U44-(1-$B$3)</f>
        <v>36570973.379580222</v>
      </c>
      <c r="AC44" s="12">
        <f t="shared" si="7"/>
        <v>18220726.087561712</v>
      </c>
      <c r="AD44" s="12">
        <f t="shared" si="7"/>
        <v>6073575.3625205718</v>
      </c>
      <c r="AE44" s="12">
        <f t="shared" si="7"/>
        <v>24294301.450082287</v>
      </c>
      <c r="AF44" s="12">
        <f t="shared" si="7"/>
        <v>12147150.725041144</v>
      </c>
      <c r="AG44" s="12">
        <f t="shared" si="7"/>
        <v>12147150.725041144</v>
      </c>
      <c r="AH44" s="12">
        <f t="shared" si="7"/>
        <v>12147150.725041144</v>
      </c>
      <c r="AI44" s="12">
        <f t="shared" si="8"/>
        <v>121601028.45486823</v>
      </c>
    </row>
    <row r="45" spans="1:35" x14ac:dyDescent="0.2">
      <c r="A45" s="1">
        <f>Returns!A32</f>
        <v>43343</v>
      </c>
      <c r="B45" s="20">
        <f t="shared" si="9"/>
        <v>121471507.25041142</v>
      </c>
      <c r="C45" s="18">
        <f t="shared" si="10"/>
        <v>0.36070047399838961</v>
      </c>
      <c r="D45" s="18">
        <f t="shared" si="11"/>
        <v>0.15547375944249883</v>
      </c>
      <c r="E45" s="18">
        <f t="shared" si="11"/>
        <v>5.3727114830432736E-2</v>
      </c>
      <c r="F45" s="18">
        <f t="shared" si="11"/>
        <v>0.15855268817404961</v>
      </c>
      <c r="G45" s="18">
        <f t="shared" si="11"/>
        <v>8.566422922273817E-2</v>
      </c>
      <c r="H45" s="18">
        <f t="shared" si="11"/>
        <v>9.0108703048074584E-2</v>
      </c>
      <c r="I45" s="18">
        <f t="shared" si="11"/>
        <v>9.5773031283816437E-2</v>
      </c>
      <c r="J45" s="12">
        <f>J44*(1+Returns!B32)</f>
        <v>44273823.679293364</v>
      </c>
      <c r="K45" s="12">
        <f>K44*(1+Returns!C32)</f>
        <v>19083473.154362414</v>
      </c>
      <c r="L45" s="12">
        <f>L44*(1+Returns!D32)</f>
        <v>6594681.6826482648</v>
      </c>
      <c r="M45" s="12">
        <f>M44*(1+Returns!E32)</f>
        <v>19461393.222697001</v>
      </c>
      <c r="N45" s="12">
        <f>N44*(1+Returns!F32)</f>
        <v>10514771.267661303</v>
      </c>
      <c r="O45" s="12">
        <f>O44*(1+Returns!G32)</f>
        <v>11060303.820776433</v>
      </c>
      <c r="P45" s="12">
        <f>P44*(1+Returns!H32)</f>
        <v>11755566.199533377</v>
      </c>
      <c r="Q45" s="12">
        <f t="shared" si="2"/>
        <v>122744013.02697216</v>
      </c>
      <c r="R45" s="12">
        <f t="shared" si="3"/>
        <v>434718.37947052642</v>
      </c>
      <c r="S45" s="12">
        <f t="shared" si="4"/>
        <v>122309294.64750163</v>
      </c>
      <c r="T45" t="b">
        <f t="shared" si="5"/>
        <v>1</v>
      </c>
      <c r="U45" s="12">
        <f t="shared" si="6"/>
        <v>36823203.908091649</v>
      </c>
      <c r="V45" s="12">
        <f>IF($T45=TRUE, $Q45*$C$8, $K45)</f>
        <v>18411601.954045825</v>
      </c>
      <c r="W45" s="12">
        <f>IF($T45=TRUE, $Q45*$C$9, $L45)</f>
        <v>6137200.6513486085</v>
      </c>
      <c r="X45" s="12">
        <f>IF($T45=TRUE, $Q45*$C$10, $M45)</f>
        <v>24548802.605394434</v>
      </c>
      <c r="Y45" s="12">
        <f>IF($T45=TRUE, $Q45*$C$11, $N45)</f>
        <v>12274401.302697217</v>
      </c>
      <c r="Z45" s="12">
        <f>IF($T45=TRUE, $Q45*$C$12, $O45)</f>
        <v>12274401.302697217</v>
      </c>
      <c r="AA45" s="12">
        <f>IF($T45=TRUE, $Q45*$C$13, $P45)</f>
        <v>12274401.302697217</v>
      </c>
      <c r="AB45" s="12">
        <f>U45-(1-$B$3)</f>
        <v>36823202.911633313</v>
      </c>
      <c r="AC45" s="12">
        <f t="shared" si="7"/>
        <v>18346394.197125245</v>
      </c>
      <c r="AD45" s="12">
        <f t="shared" si="7"/>
        <v>6115464.7323750826</v>
      </c>
      <c r="AE45" s="12">
        <f t="shared" si="7"/>
        <v>24461858.92950033</v>
      </c>
      <c r="AF45" s="12">
        <f t="shared" si="7"/>
        <v>12230929.464750165</v>
      </c>
      <c r="AG45" s="12">
        <f t="shared" si="7"/>
        <v>12230929.464750165</v>
      </c>
      <c r="AH45" s="12">
        <f t="shared" si="7"/>
        <v>12230929.464750165</v>
      </c>
      <c r="AI45" s="12">
        <f t="shared" si="8"/>
        <v>122439709.16488448</v>
      </c>
    </row>
    <row r="46" spans="1:35" x14ac:dyDescent="0.2">
      <c r="A46" s="1">
        <f>Returns!A33</f>
        <v>43373</v>
      </c>
      <c r="B46" s="20">
        <f t="shared" si="9"/>
        <v>122309294.64750163</v>
      </c>
      <c r="C46" s="18">
        <f t="shared" si="10"/>
        <v>0.36368297914008746</v>
      </c>
      <c r="D46" s="18">
        <f t="shared" si="11"/>
        <v>0.15731658808248117</v>
      </c>
      <c r="E46" s="18">
        <f t="shared" si="11"/>
        <v>5.353829478548805E-2</v>
      </c>
      <c r="F46" s="18">
        <f t="shared" si="11"/>
        <v>0.15694888353843628</v>
      </c>
      <c r="G46" s="18">
        <f t="shared" si="11"/>
        <v>8.5737650880286426E-2</v>
      </c>
      <c r="H46" s="18">
        <f t="shared" si="11"/>
        <v>8.7907551502366746E-2</v>
      </c>
      <c r="I46" s="18">
        <f t="shared" si="11"/>
        <v>9.4868052070853845E-2</v>
      </c>
      <c r="J46" s="12">
        <f>J45*(1+Returns!B33)</f>
        <v>44538814.336674027</v>
      </c>
      <c r="K46" s="12">
        <f>K45*(1+Returns!C33)</f>
        <v>19265939.597315434</v>
      </c>
      <c r="L46" s="12">
        <f>L45*(1+Returns!D33)</f>
        <v>6556622.9604451042</v>
      </c>
      <c r="M46" s="12">
        <f>M45*(1+Returns!E33)</f>
        <v>19220908.277849536</v>
      </c>
      <c r="N46" s="12">
        <f>N45*(1+Returns!F33)</f>
        <v>10499950.597767023</v>
      </c>
      <c r="O46" s="12">
        <f>O45*(1+Returns!G33)</f>
        <v>10765689.734540435</v>
      </c>
      <c r="P46" s="12">
        <f>P45*(1+Returns!H33)</f>
        <v>11618114.676843679</v>
      </c>
      <c r="Q46" s="12">
        <f t="shared" si="2"/>
        <v>122466040.18143524</v>
      </c>
      <c r="R46" s="12">
        <f t="shared" si="3"/>
        <v>433733.89230924984</v>
      </c>
      <c r="S46" s="12">
        <f t="shared" si="4"/>
        <v>122032306.28912599</v>
      </c>
      <c r="T46" t="b">
        <f t="shared" si="5"/>
        <v>1</v>
      </c>
      <c r="U46" s="12">
        <f t="shared" si="6"/>
        <v>36739812.054430574</v>
      </c>
      <c r="V46" s="12">
        <f>IF($T46=TRUE, $Q46*$C$8, $K46)</f>
        <v>18369906.027215287</v>
      </c>
      <c r="W46" s="12">
        <f>IF($T46=TRUE, $Q46*$C$9, $L46)</f>
        <v>6123302.0090717627</v>
      </c>
      <c r="X46" s="12">
        <f>IF($T46=TRUE, $Q46*$C$10, $M46)</f>
        <v>24493208.036287051</v>
      </c>
      <c r="Y46" s="12">
        <f>IF($T46=TRUE, $Q46*$C$11, $N46)</f>
        <v>12246604.018143525</v>
      </c>
      <c r="Z46" s="12">
        <f>IF($T46=TRUE, $Q46*$C$12, $O46)</f>
        <v>12246604.018143525</v>
      </c>
      <c r="AA46" s="12">
        <f>IF($T46=TRUE, $Q46*$C$13, $P46)</f>
        <v>12246604.018143525</v>
      </c>
      <c r="AB46" s="12">
        <f>U46-(1-$B$3)</f>
        <v>36739811.057972237</v>
      </c>
      <c r="AC46" s="12">
        <f t="shared" si="7"/>
        <v>18304845.943368901</v>
      </c>
      <c r="AD46" s="12">
        <f t="shared" si="7"/>
        <v>6101615.3144562999</v>
      </c>
      <c r="AE46" s="12">
        <f t="shared" si="7"/>
        <v>24406461.2578252</v>
      </c>
      <c r="AF46" s="12">
        <f t="shared" si="7"/>
        <v>12203230.6289126</v>
      </c>
      <c r="AG46" s="12">
        <f t="shared" si="7"/>
        <v>12203230.6289126</v>
      </c>
      <c r="AH46" s="12">
        <f t="shared" si="7"/>
        <v>12203230.6289126</v>
      </c>
      <c r="AI46" s="12">
        <f t="shared" si="8"/>
        <v>122162425.46036042</v>
      </c>
    </row>
    <row r="47" spans="1:35" x14ac:dyDescent="0.2">
      <c r="A47" s="1">
        <f>Returns!A34</f>
        <v>43404</v>
      </c>
      <c r="B47" s="20">
        <f t="shared" si="9"/>
        <v>122032306.28912599</v>
      </c>
      <c r="C47" s="18">
        <f t="shared" si="10"/>
        <v>0.3567209566349609</v>
      </c>
      <c r="D47" s="18">
        <f t="shared" si="11"/>
        <v>0.15228081951209346</v>
      </c>
      <c r="E47" s="18">
        <f t="shared" si="11"/>
        <v>5.1469106166868492E-2</v>
      </c>
      <c r="F47" s="18">
        <f t="shared" si="11"/>
        <v>0.16489411453906974</v>
      </c>
      <c r="G47" s="18">
        <f t="shared" si="11"/>
        <v>8.8460799852003891E-2</v>
      </c>
      <c r="H47" s="18">
        <f t="shared" si="11"/>
        <v>8.9919446405989187E-2</v>
      </c>
      <c r="I47" s="18">
        <f t="shared" si="11"/>
        <v>9.6254756889014317E-2</v>
      </c>
      <c r="J47" s="12">
        <f>J46*(1+Returns!B34)</f>
        <v>41460845.931713946</v>
      </c>
      <c r="K47" s="12">
        <f>K46*(1+Returns!C34)</f>
        <v>17699244.96644295</v>
      </c>
      <c r="L47" s="12">
        <f>L46*(1+Returns!D34)</f>
        <v>5982134.3303115088</v>
      </c>
      <c r="M47" s="12">
        <f>M46*(1+Returns!E34)</f>
        <v>19165258.869124506</v>
      </c>
      <c r="N47" s="12">
        <f>N46*(1+Returns!F34)</f>
        <v>10281592.727991309</v>
      </c>
      <c r="O47" s="12">
        <f>O46*(1+Returns!G34)</f>
        <v>10451127.819548873</v>
      </c>
      <c r="P47" s="12">
        <f>P46*(1+Returns!H34)</f>
        <v>11187466.201078471</v>
      </c>
      <c r="Q47" s="12">
        <f t="shared" si="2"/>
        <v>116227670.84621157</v>
      </c>
      <c r="R47" s="12">
        <f t="shared" si="3"/>
        <v>411639.66758033267</v>
      </c>
      <c r="S47" s="12">
        <f t="shared" si="4"/>
        <v>115816031.17863123</v>
      </c>
      <c r="T47" t="b">
        <f t="shared" si="5"/>
        <v>1</v>
      </c>
      <c r="U47" s="12">
        <f t="shared" si="6"/>
        <v>34868301.253863469</v>
      </c>
      <c r="V47" s="12">
        <f>IF($T47=TRUE, $Q47*$C$8, $K47)</f>
        <v>17434150.626931734</v>
      </c>
      <c r="W47" s="12">
        <f>IF($T47=TRUE, $Q47*$C$9, $L47)</f>
        <v>5811383.5423105787</v>
      </c>
      <c r="X47" s="12">
        <f>IF($T47=TRUE, $Q47*$C$10, $M47)</f>
        <v>23245534.169242315</v>
      </c>
      <c r="Y47" s="12">
        <f>IF($T47=TRUE, $Q47*$C$11, $N47)</f>
        <v>11622767.084621157</v>
      </c>
      <c r="Z47" s="12">
        <f>IF($T47=TRUE, $Q47*$C$12, $O47)</f>
        <v>11622767.084621157</v>
      </c>
      <c r="AA47" s="12">
        <f>IF($T47=TRUE, $Q47*$C$13, $P47)</f>
        <v>11622767.084621157</v>
      </c>
      <c r="AB47" s="12">
        <f>U47-(1-$B$3)</f>
        <v>34868300.257405132</v>
      </c>
      <c r="AC47" s="12">
        <f t="shared" si="7"/>
        <v>17372404.676794685</v>
      </c>
      <c r="AD47" s="12">
        <f t="shared" si="7"/>
        <v>5790801.5589315621</v>
      </c>
      <c r="AE47" s="12">
        <f t="shared" si="7"/>
        <v>23163206.235726248</v>
      </c>
      <c r="AF47" s="12">
        <f t="shared" si="7"/>
        <v>11581603.117863124</v>
      </c>
      <c r="AG47" s="12">
        <f t="shared" si="7"/>
        <v>11581603.117863124</v>
      </c>
      <c r="AH47" s="12">
        <f t="shared" si="7"/>
        <v>11581603.117863124</v>
      </c>
      <c r="AI47" s="12">
        <f t="shared" si="8"/>
        <v>115939522.08244698</v>
      </c>
    </row>
    <row r="48" spans="1:35" x14ac:dyDescent="0.2">
      <c r="A48" s="1">
        <f>Returns!A35</f>
        <v>43434</v>
      </c>
      <c r="B48" s="20">
        <f t="shared" si="9"/>
        <v>115816031.17863123</v>
      </c>
      <c r="C48" s="18">
        <f t="shared" si="10"/>
        <v>0.35694922975952748</v>
      </c>
      <c r="D48" s="18">
        <f t="shared" si="11"/>
        <v>0.15035838319696562</v>
      </c>
      <c r="E48" s="18">
        <f t="shared" si="11"/>
        <v>5.3048407662524742E-2</v>
      </c>
      <c r="F48" s="18">
        <f t="shared" si="11"/>
        <v>0.16417340735735725</v>
      </c>
      <c r="G48" s="18">
        <f t="shared" si="11"/>
        <v>8.6610822351423547E-2</v>
      </c>
      <c r="H48" s="18">
        <f t="shared" si="11"/>
        <v>9.2469332862552975E-2</v>
      </c>
      <c r="I48" s="18">
        <f t="shared" si="11"/>
        <v>9.6390416809648327E-2</v>
      </c>
      <c r="J48" s="12">
        <f>J47*(1+Returns!B35)</f>
        <v>42226940.716833703</v>
      </c>
      <c r="K48" s="12">
        <f>K47*(1+Returns!C35)</f>
        <v>17787332.214765098</v>
      </c>
      <c r="L48" s="12">
        <f>L47*(1+Returns!D35)</f>
        <v>6275603.8638799395</v>
      </c>
      <c r="M48" s="12">
        <f>M47*(1+Returns!E35)</f>
        <v>19421643.645036258</v>
      </c>
      <c r="N48" s="12">
        <f>N47*(1+Returns!F35)</f>
        <v>10246023.120245039</v>
      </c>
      <c r="O48" s="12">
        <f>O47*(1+Returns!G35)</f>
        <v>10939082.399877246</v>
      </c>
      <c r="P48" s="12">
        <f>P47*(1+Returns!H35)</f>
        <v>11402944.948316615</v>
      </c>
      <c r="Q48" s="12">
        <f t="shared" si="2"/>
        <v>118299570.90895391</v>
      </c>
      <c r="R48" s="12">
        <f t="shared" si="3"/>
        <v>418977.64696921175</v>
      </c>
      <c r="S48" s="12">
        <f t="shared" si="4"/>
        <v>117880593.26198469</v>
      </c>
      <c r="T48" t="b">
        <f t="shared" si="5"/>
        <v>1</v>
      </c>
      <c r="U48" s="12">
        <f t="shared" si="6"/>
        <v>35489871.272686169</v>
      </c>
      <c r="V48" s="12">
        <f>IF($T48=TRUE, $Q48*$C$8, $K48)</f>
        <v>17744935.636343084</v>
      </c>
      <c r="W48" s="12">
        <f>IF($T48=TRUE, $Q48*$C$9, $L48)</f>
        <v>5914978.545447696</v>
      </c>
      <c r="X48" s="12">
        <f>IF($T48=TRUE, $Q48*$C$10, $M48)</f>
        <v>23659914.181790784</v>
      </c>
      <c r="Y48" s="12">
        <f>IF($T48=TRUE, $Q48*$C$11, $N48)</f>
        <v>11829957.090895392</v>
      </c>
      <c r="Z48" s="12">
        <f>IF($T48=TRUE, $Q48*$C$12, $O48)</f>
        <v>11829957.090895392</v>
      </c>
      <c r="AA48" s="12">
        <f>IF($T48=TRUE, $Q48*$C$13, $P48)</f>
        <v>11829957.090895392</v>
      </c>
      <c r="AB48" s="12">
        <f>U48-(1-$B$3)</f>
        <v>35489870.276227832</v>
      </c>
      <c r="AC48" s="12">
        <f t="shared" si="7"/>
        <v>17682088.989297703</v>
      </c>
      <c r="AD48" s="12">
        <f t="shared" si="7"/>
        <v>5894029.6630992359</v>
      </c>
      <c r="AE48" s="12">
        <f t="shared" si="7"/>
        <v>23576118.652396943</v>
      </c>
      <c r="AF48" s="12">
        <f t="shared" si="7"/>
        <v>11788059.326198472</v>
      </c>
      <c r="AG48" s="12">
        <f t="shared" si="7"/>
        <v>11788059.326198472</v>
      </c>
      <c r="AH48" s="12">
        <f t="shared" si="7"/>
        <v>11788059.326198472</v>
      </c>
      <c r="AI48" s="12">
        <f t="shared" si="8"/>
        <v>118006285.55961713</v>
      </c>
    </row>
    <row r="49" spans="1:35" x14ac:dyDescent="0.2">
      <c r="A49" s="1">
        <f>Returns!A36</f>
        <v>43465</v>
      </c>
      <c r="B49" s="20">
        <f t="shared" si="9"/>
        <v>117880593.26198469</v>
      </c>
      <c r="C49" s="18">
        <f t="shared" si="10"/>
        <v>0.34103963429666501</v>
      </c>
      <c r="D49" s="18">
        <f t="shared" si="11"/>
        <v>0.14911402277862804</v>
      </c>
      <c r="E49" s="18">
        <f t="shared" si="11"/>
        <v>5.3633192384360352E-2</v>
      </c>
      <c r="F49" s="18">
        <f t="shared" si="11"/>
        <v>0.17675434953689459</v>
      </c>
      <c r="G49" s="18">
        <f t="shared" si="11"/>
        <v>9.2429632131423689E-2</v>
      </c>
      <c r="H49" s="18">
        <f t="shared" si="11"/>
        <v>8.9173512716864467E-2</v>
      </c>
      <c r="I49" s="18">
        <f t="shared" si="11"/>
        <v>9.7855656155163895E-2</v>
      </c>
      <c r="J49" s="12">
        <f>J48*(1+Returns!B36)</f>
        <v>38508578.223203667</v>
      </c>
      <c r="K49" s="12">
        <f>K48*(1+Returns!C36)</f>
        <v>16837248.322147649</v>
      </c>
      <c r="L49" s="12">
        <f>L48*(1+Returns!D36)</f>
        <v>6056005.7441788912</v>
      </c>
      <c r="M49" s="12">
        <f>M48*(1+Returns!E36)</f>
        <v>19958262.943456214</v>
      </c>
      <c r="N49" s="12">
        <f>N48*(1+Returns!F36)</f>
        <v>10436715.739551432</v>
      </c>
      <c r="O49" s="12">
        <f>O48*(1+Returns!G36)</f>
        <v>10069050.176461564</v>
      </c>
      <c r="P49" s="12">
        <f>P48*(1+Returns!H36)</f>
        <v>11049396.640966605</v>
      </c>
      <c r="Q49" s="12">
        <f t="shared" si="2"/>
        <v>112915257.78996602</v>
      </c>
      <c r="R49" s="12">
        <f t="shared" si="3"/>
        <v>399908.20467279636</v>
      </c>
      <c r="S49" s="12">
        <f t="shared" si="4"/>
        <v>112515349.58529322</v>
      </c>
      <c r="T49" t="b">
        <f t="shared" si="5"/>
        <v>0</v>
      </c>
      <c r="U49" s="12">
        <f t="shared" si="6"/>
        <v>38508578.223203667</v>
      </c>
      <c r="V49" s="12">
        <f>IF($T49=TRUE, $Q49*$C$8, $K49)</f>
        <v>16837248.322147649</v>
      </c>
      <c r="W49" s="12">
        <f>IF($T49=TRUE, $Q49*$C$9, $L49)</f>
        <v>6056005.7441788912</v>
      </c>
      <c r="X49" s="12">
        <f>IF($T49=TRUE, $Q49*$C$10, $M49)</f>
        <v>19958262.943456214</v>
      </c>
      <c r="Y49" s="12">
        <f>IF($T49=TRUE, $Q49*$C$11, $N49)</f>
        <v>10436715.739551432</v>
      </c>
      <c r="Z49" s="12">
        <f>IF($T49=TRUE, $Q49*$C$12, $O49)</f>
        <v>10069050.176461564</v>
      </c>
      <c r="AA49" s="12">
        <f>IF($T49=TRUE, $Q49*$C$13, $P49)</f>
        <v>11049396.640966605</v>
      </c>
      <c r="AB49" s="12">
        <f>U49-(1-$B$3)</f>
        <v>38508577.22674533</v>
      </c>
      <c r="AC49" s="12">
        <f t="shared" si="7"/>
        <v>16777616.40100671</v>
      </c>
      <c r="AD49" s="12">
        <f t="shared" si="7"/>
        <v>6034557.3905015914</v>
      </c>
      <c r="AE49" s="12">
        <f t="shared" si="7"/>
        <v>19887577.428864807</v>
      </c>
      <c r="AF49" s="12">
        <f t="shared" si="7"/>
        <v>10399752.371307189</v>
      </c>
      <c r="AG49" s="12">
        <f t="shared" si="7"/>
        <v>10033388.957086597</v>
      </c>
      <c r="AH49" s="12">
        <f t="shared" si="7"/>
        <v>11010263.361196516</v>
      </c>
      <c r="AI49" s="12">
        <f t="shared" si="8"/>
        <v>112651733.13670874</v>
      </c>
    </row>
    <row r="50" spans="1:35" x14ac:dyDescent="0.2">
      <c r="A50" s="1">
        <f>Returns!A37</f>
        <v>43496</v>
      </c>
      <c r="B50" s="20">
        <f t="shared" si="9"/>
        <v>112515349.58529322</v>
      </c>
      <c r="C50" s="18">
        <f t="shared" si="10"/>
        <v>0.34556439009772172</v>
      </c>
      <c r="D50" s="18">
        <f t="shared" si="11"/>
        <v>0.14917757139016682</v>
      </c>
      <c r="E50" s="18">
        <f t="shared" si="11"/>
        <v>5.5522148498426675E-2</v>
      </c>
      <c r="F50" s="18">
        <f t="shared" si="11"/>
        <v>0.16692001071260726</v>
      </c>
      <c r="G50" s="18">
        <f t="shared" si="11"/>
        <v>8.9639636928184677E-2</v>
      </c>
      <c r="H50" s="18">
        <f t="shared" si="11"/>
        <v>9.3581281175572573E-2</v>
      </c>
      <c r="I50" s="18">
        <f t="shared" si="11"/>
        <v>9.9594961197320295E-2</v>
      </c>
      <c r="J50" s="12">
        <f>J49*(1+Returns!B37)</f>
        <v>41589943.944284014</v>
      </c>
      <c r="K50" s="12">
        <f>K49*(1+Returns!C37)</f>
        <v>17954068.791946307</v>
      </c>
      <c r="L50" s="12">
        <f>L49*(1+Returns!D37)</f>
        <v>6682294.5589468079</v>
      </c>
      <c r="M50" s="12">
        <f>M49*(1+Returns!E37)</f>
        <v>20089436.549736645</v>
      </c>
      <c r="N50" s="12">
        <f>N49*(1+Returns!F37)</f>
        <v>10788459.638375659</v>
      </c>
      <c r="O50" s="12">
        <f>O49*(1+Returns!G37)</f>
        <v>11262851.005063683</v>
      </c>
      <c r="P50" s="12">
        <f>P49*(1+Returns!H37)</f>
        <v>11986619.489810102</v>
      </c>
      <c r="Q50" s="12">
        <f t="shared" si="2"/>
        <v>120353673.97816321</v>
      </c>
      <c r="R50" s="12">
        <f t="shared" si="3"/>
        <v>426252.59533932805</v>
      </c>
      <c r="S50" s="12">
        <f t="shared" si="4"/>
        <v>119927421.38282388</v>
      </c>
      <c r="T50" t="b">
        <f t="shared" si="5"/>
        <v>0</v>
      </c>
      <c r="U50" s="12">
        <f t="shared" si="6"/>
        <v>41589943.944284014</v>
      </c>
      <c r="V50" s="12">
        <f>IF($T50=TRUE, $Q50*$C$8, $K50)</f>
        <v>17954068.791946307</v>
      </c>
      <c r="W50" s="12">
        <f>IF($T50=TRUE, $Q50*$C$9, $L50)</f>
        <v>6682294.5589468079</v>
      </c>
      <c r="X50" s="12">
        <f>IF($T50=TRUE, $Q50*$C$10, $M50)</f>
        <v>20089436.549736645</v>
      </c>
      <c r="Y50" s="12">
        <f>IF($T50=TRUE, $Q50*$C$11, $N50)</f>
        <v>10788459.638375659</v>
      </c>
      <c r="Z50" s="12">
        <f>IF($T50=TRUE, $Q50*$C$12, $O50)</f>
        <v>11262851.005063683</v>
      </c>
      <c r="AA50" s="12">
        <f>IF($T50=TRUE, $Q50*$C$13, $P50)</f>
        <v>11986619.489810102</v>
      </c>
      <c r="AB50" s="12">
        <f>U50-(1-$B$3)</f>
        <v>41589942.947825678</v>
      </c>
      <c r="AC50" s="12">
        <f t="shared" si="7"/>
        <v>17890481.464974832</v>
      </c>
      <c r="AD50" s="12">
        <f t="shared" si="7"/>
        <v>6658628.0990505377</v>
      </c>
      <c r="AE50" s="12">
        <f t="shared" si="7"/>
        <v>20018286.46195633</v>
      </c>
      <c r="AF50" s="12">
        <f t="shared" si="7"/>
        <v>10750250.510489745</v>
      </c>
      <c r="AG50" s="12">
        <f t="shared" si="7"/>
        <v>11222961.741087416</v>
      </c>
      <c r="AH50" s="12">
        <f t="shared" si="7"/>
        <v>11944166.879117025</v>
      </c>
      <c r="AI50" s="12">
        <f t="shared" si="8"/>
        <v>120074718.10450156</v>
      </c>
    </row>
    <row r="51" spans="1:35" x14ac:dyDescent="0.2">
      <c r="A51" s="1">
        <f>Returns!A38</f>
        <v>43524</v>
      </c>
      <c r="B51" s="20">
        <f t="shared" si="9"/>
        <v>119927421.38282388</v>
      </c>
      <c r="C51" s="18">
        <f t="shared" si="10"/>
        <v>0.35104524735566528</v>
      </c>
      <c r="D51" s="18">
        <f t="shared" si="11"/>
        <v>0.15049504967058377</v>
      </c>
      <c r="E51" s="18">
        <f t="shared" si="11"/>
        <v>5.3789310023668588E-2</v>
      </c>
      <c r="F51" s="18">
        <f t="shared" si="11"/>
        <v>0.16334441457465079</v>
      </c>
      <c r="G51" s="18">
        <f t="shared" si="11"/>
        <v>8.7996762566156392E-2</v>
      </c>
      <c r="H51" s="18">
        <f t="shared" si="11"/>
        <v>9.270824635356438E-2</v>
      </c>
      <c r="I51" s="18">
        <f t="shared" si="11"/>
        <v>0.10062096945571072</v>
      </c>
      <c r="J51" s="12">
        <f>J50*(1+Returns!B38)</f>
        <v>42943774.418209612</v>
      </c>
      <c r="K51" s="12">
        <f>K50*(1+Returns!C38)</f>
        <v>18410234.899328858</v>
      </c>
      <c r="L51" s="12">
        <f>L50*(1+Returns!D38)</f>
        <v>6580109.0120648993</v>
      </c>
      <c r="M51" s="12">
        <f>M50*(1+Returns!E38)</f>
        <v>19982112.690052658</v>
      </c>
      <c r="N51" s="12">
        <f>N50*(1+Returns!F38)</f>
        <v>10764746.566544812</v>
      </c>
      <c r="O51" s="12">
        <f>O50*(1+Returns!G38)</f>
        <v>11341107.87172012</v>
      </c>
      <c r="P51" s="12">
        <f>P50*(1+Returns!H38)</f>
        <v>12309080.514825167</v>
      </c>
      <c r="Q51" s="12">
        <f t="shared" si="2"/>
        <v>122331165.97274613</v>
      </c>
      <c r="R51" s="12">
        <f t="shared" si="3"/>
        <v>433256.21282014257</v>
      </c>
      <c r="S51" s="12">
        <f t="shared" si="4"/>
        <v>121897909.75992599</v>
      </c>
      <c r="T51" t="b">
        <f t="shared" si="5"/>
        <v>1</v>
      </c>
      <c r="U51" s="12">
        <f t="shared" si="6"/>
        <v>36699349.791823842</v>
      </c>
      <c r="V51" s="12">
        <f>IF($T51=TRUE, $Q51*$C$8, $K51)</f>
        <v>18349674.895911921</v>
      </c>
      <c r="W51" s="12">
        <f>IF($T51=TRUE, $Q51*$C$9, $L51)</f>
        <v>6116558.2986373072</v>
      </c>
      <c r="X51" s="12">
        <f>IF($T51=TRUE, $Q51*$C$10, $M51)</f>
        <v>24466233.194549229</v>
      </c>
      <c r="Y51" s="12">
        <f>IF($T51=TRUE, $Q51*$C$11, $N51)</f>
        <v>12233116.597274614</v>
      </c>
      <c r="Z51" s="12">
        <f>IF($T51=TRUE, $Q51*$C$12, $O51)</f>
        <v>12233116.597274614</v>
      </c>
      <c r="AA51" s="12">
        <f>IF($T51=TRUE, $Q51*$C$13, $P51)</f>
        <v>12233116.597274614</v>
      </c>
      <c r="AB51" s="12">
        <f>U51-(1-$B$3)</f>
        <v>36699348.795365505</v>
      </c>
      <c r="AC51" s="12">
        <f t="shared" si="7"/>
        <v>18284686.4639889</v>
      </c>
      <c r="AD51" s="12">
        <f t="shared" si="7"/>
        <v>6094895.4879962998</v>
      </c>
      <c r="AE51" s="12">
        <f t="shared" si="7"/>
        <v>24379581.951985199</v>
      </c>
      <c r="AF51" s="12">
        <f t="shared" si="7"/>
        <v>12189790.9759926</v>
      </c>
      <c r="AG51" s="12">
        <f t="shared" si="7"/>
        <v>12189790.9759926</v>
      </c>
      <c r="AH51" s="12">
        <f t="shared" si="7"/>
        <v>12189790.9759926</v>
      </c>
      <c r="AI51" s="12">
        <f t="shared" si="8"/>
        <v>122027885.62731372</v>
      </c>
    </row>
    <row r="52" spans="1:35" x14ac:dyDescent="0.2">
      <c r="A52" s="1">
        <f>Returns!A39</f>
        <v>43555</v>
      </c>
      <c r="B52" s="20">
        <f t="shared" si="9"/>
        <v>121897909.75992599</v>
      </c>
      <c r="C52" s="18">
        <f t="shared" si="10"/>
        <v>0.34987845904614495</v>
      </c>
      <c r="D52" s="18">
        <f t="shared" si="11"/>
        <v>0.14867745119784476</v>
      </c>
      <c r="E52" s="18">
        <f t="shared" si="11"/>
        <v>5.3258748390619406E-2</v>
      </c>
      <c r="F52" s="18">
        <f t="shared" si="11"/>
        <v>0.16424979519967983</v>
      </c>
      <c r="G52" s="18">
        <f t="shared" si="11"/>
        <v>8.8692065446804511E-2</v>
      </c>
      <c r="H52" s="18">
        <f t="shared" si="11"/>
        <v>9.4598090459505665E-2</v>
      </c>
      <c r="I52" s="18">
        <f t="shared" si="11"/>
        <v>0.1006453902594009</v>
      </c>
      <c r="J52" s="12">
        <f>J51*(1+Returns!B39)</f>
        <v>43716663.835569903</v>
      </c>
      <c r="K52" s="12">
        <f>K51*(1+Returns!C39)</f>
        <v>18576971.476510063</v>
      </c>
      <c r="L52" s="12">
        <f>L51*(1+Returns!D39)</f>
        <v>6654581.7254466442</v>
      </c>
      <c r="M52" s="12">
        <f>M51*(1+Returns!E39)</f>
        <v>20522706.946238685</v>
      </c>
      <c r="N52" s="12">
        <f>N51*(1+Returns!F39)</f>
        <v>11081908.902282389</v>
      </c>
      <c r="O52" s="12">
        <f>O51*(1+Returns!G39)</f>
        <v>11819855.761853619</v>
      </c>
      <c r="P52" s="12">
        <f>P51*(1+Returns!H39)</f>
        <v>12575454.643778676</v>
      </c>
      <c r="Q52" s="12">
        <f t="shared" si="2"/>
        <v>124948143.29167998</v>
      </c>
      <c r="R52" s="12">
        <f t="shared" si="3"/>
        <v>442524.67415803327</v>
      </c>
      <c r="S52" s="12">
        <f t="shared" si="4"/>
        <v>124505618.61752194</v>
      </c>
      <c r="T52" t="b">
        <f t="shared" si="5"/>
        <v>0</v>
      </c>
      <c r="U52" s="12">
        <f t="shared" si="6"/>
        <v>43716663.835569903</v>
      </c>
      <c r="V52" s="12">
        <f>IF($T52=TRUE, $Q52*$C$8, $K52)</f>
        <v>18576971.476510063</v>
      </c>
      <c r="W52" s="12">
        <f>IF($T52=TRUE, $Q52*$C$9, $L52)</f>
        <v>6654581.7254466442</v>
      </c>
      <c r="X52" s="12">
        <f>IF($T52=TRUE, $Q52*$C$10, $M52)</f>
        <v>20522706.946238685</v>
      </c>
      <c r="Y52" s="12">
        <f>IF($T52=TRUE, $Q52*$C$11, $N52)</f>
        <v>11081908.902282389</v>
      </c>
      <c r="Z52" s="12">
        <f>IF($T52=TRUE, $Q52*$C$12, $O52)</f>
        <v>11819855.761853619</v>
      </c>
      <c r="AA52" s="12">
        <f>IF($T52=TRUE, $Q52*$C$13, $P52)</f>
        <v>12575454.643778676</v>
      </c>
      <c r="AB52" s="12">
        <f>U52-(1-$B$3)</f>
        <v>43716662.839111567</v>
      </c>
      <c r="AC52" s="12">
        <f t="shared" si="7"/>
        <v>18511178.035864089</v>
      </c>
      <c r="AD52" s="12">
        <f t="shared" si="7"/>
        <v>6631013.4151690211</v>
      </c>
      <c r="AE52" s="12">
        <f t="shared" si="7"/>
        <v>20450022.359137423</v>
      </c>
      <c r="AF52" s="12">
        <f t="shared" si="7"/>
        <v>11042660.474920139</v>
      </c>
      <c r="AG52" s="12">
        <f t="shared" si="7"/>
        <v>11777993.772697054</v>
      </c>
      <c r="AH52" s="12">
        <f t="shared" si="7"/>
        <v>12530916.575248627</v>
      </c>
      <c r="AI52" s="12">
        <f t="shared" si="8"/>
        <v>124660447.47214791</v>
      </c>
    </row>
    <row r="53" spans="1:35" x14ac:dyDescent="0.2">
      <c r="A53" s="1">
        <f>Returns!A40</f>
        <v>43585</v>
      </c>
      <c r="B53" s="20">
        <f t="shared" si="9"/>
        <v>124505618.61752194</v>
      </c>
      <c r="C53" s="18">
        <f t="shared" si="10"/>
        <v>0.35675993968500669</v>
      </c>
      <c r="D53" s="18">
        <f t="shared" si="11"/>
        <v>0.14990955793068023</v>
      </c>
      <c r="E53" s="18">
        <f t="shared" si="11"/>
        <v>5.3399804491551878E-2</v>
      </c>
      <c r="F53" s="18">
        <f t="shared" si="11"/>
        <v>0.16007128321690953</v>
      </c>
      <c r="G53" s="18">
        <f t="shared" si="11"/>
        <v>8.7268987531846434E-2</v>
      </c>
      <c r="H53" s="18">
        <f t="shared" si="11"/>
        <v>9.2522786896425319E-2</v>
      </c>
      <c r="I53" s="18">
        <f t="shared" si="11"/>
        <v>0.10006764024757979</v>
      </c>
      <c r="J53" s="12">
        <f>J52*(1+Returns!B40)</f>
        <v>45505350.77288942</v>
      </c>
      <c r="K53" s="12">
        <f>K52*(1+Returns!C40)</f>
        <v>19121224.832214762</v>
      </c>
      <c r="L53" s="12">
        <f>L52*(1+Returns!D40)</f>
        <v>6811237.9342178339</v>
      </c>
      <c r="M53" s="12">
        <f>M52*(1+Returns!E40)</f>
        <v>20417370.56543773</v>
      </c>
      <c r="N53" s="12">
        <f>N52*(1+Returns!F40)</f>
        <v>11131311.13526332</v>
      </c>
      <c r="O53" s="12">
        <f>O52*(1+Returns!G40)</f>
        <v>11801442.381463867</v>
      </c>
      <c r="P53" s="12">
        <f>P52*(1+Returns!H40)</f>
        <v>12763801.548183737</v>
      </c>
      <c r="Q53" s="12">
        <f t="shared" si="2"/>
        <v>127551739.16967069</v>
      </c>
      <c r="R53" s="12">
        <f t="shared" si="3"/>
        <v>451745.74289258372</v>
      </c>
      <c r="S53" s="12">
        <f t="shared" si="4"/>
        <v>127099993.42677811</v>
      </c>
      <c r="T53" t="b">
        <f t="shared" si="5"/>
        <v>1</v>
      </c>
      <c r="U53" s="12">
        <f t="shared" si="6"/>
        <v>38265521.750901207</v>
      </c>
      <c r="V53" s="12">
        <f>IF($T53=TRUE, $Q53*$C$8, $K53)</f>
        <v>19132760.875450604</v>
      </c>
      <c r="W53" s="12">
        <f>IF($T53=TRUE, $Q53*$C$9, $L53)</f>
        <v>6377586.9584835349</v>
      </c>
      <c r="X53" s="12">
        <f>IF($T53=TRUE, $Q53*$C$10, $M53)</f>
        <v>25510347.833934139</v>
      </c>
      <c r="Y53" s="12">
        <f>IF($T53=TRUE, $Q53*$C$11, $N53)</f>
        <v>12755173.91696707</v>
      </c>
      <c r="Z53" s="12">
        <f>IF($T53=TRUE, $Q53*$C$12, $O53)</f>
        <v>12755173.91696707</v>
      </c>
      <c r="AA53" s="12">
        <f>IF($T53=TRUE, $Q53*$C$13, $P53)</f>
        <v>12755173.91696707</v>
      </c>
      <c r="AB53" s="12">
        <f>U53-(1-$B$3)</f>
        <v>38265520.754442871</v>
      </c>
      <c r="AC53" s="12">
        <f t="shared" si="7"/>
        <v>19064999.014016718</v>
      </c>
      <c r="AD53" s="12">
        <f t="shared" si="7"/>
        <v>6354999.6713389056</v>
      </c>
      <c r="AE53" s="12">
        <f t="shared" si="7"/>
        <v>25419998.685355622</v>
      </c>
      <c r="AF53" s="12">
        <f t="shared" si="7"/>
        <v>12709999.342677811</v>
      </c>
      <c r="AG53" s="12">
        <f t="shared" si="7"/>
        <v>12709999.342677811</v>
      </c>
      <c r="AH53" s="12">
        <f t="shared" si="7"/>
        <v>12709999.342677811</v>
      </c>
      <c r="AI53" s="12">
        <f t="shared" si="8"/>
        <v>127235516.15318757</v>
      </c>
    </row>
    <row r="54" spans="1:35" x14ac:dyDescent="0.2">
      <c r="A54" s="1">
        <f>Returns!A41</f>
        <v>43616</v>
      </c>
      <c r="B54" s="20">
        <f t="shared" si="9"/>
        <v>127099993.42677811</v>
      </c>
      <c r="C54" s="18">
        <f t="shared" si="10"/>
        <v>0.34415161611987571</v>
      </c>
      <c r="D54" s="18">
        <f t="shared" si="11"/>
        <v>0.14670073367701794</v>
      </c>
      <c r="E54" s="18">
        <f t="shared" si="11"/>
        <v>5.0991581676010186E-2</v>
      </c>
      <c r="F54" s="18">
        <f t="shared" si="11"/>
        <v>0.16995906624832838</v>
      </c>
      <c r="G54" s="18">
        <f t="shared" si="11"/>
        <v>9.1381261052574866E-2</v>
      </c>
      <c r="H54" s="18">
        <f t="shared" si="11"/>
        <v>9.5466357725085146E-2</v>
      </c>
      <c r="I54" s="18">
        <f t="shared" si="11"/>
        <v>0.10134938350110774</v>
      </c>
      <c r="J54" s="12">
        <f>J53*(1+Returns!B41)</f>
        <v>42598946.832002722</v>
      </c>
      <c r="K54" s="12">
        <f>K53*(1+Returns!C41)</f>
        <v>18158557.046979863</v>
      </c>
      <c r="L54" s="12">
        <f>L53*(1+Returns!D41)</f>
        <v>6311717.2053013416</v>
      </c>
      <c r="M54" s="12">
        <f>M53*(1+Returns!E41)</f>
        <v>21037463.976945229</v>
      </c>
      <c r="N54" s="12">
        <f>N53*(1+Returns!F41)</f>
        <v>11311135.263313908</v>
      </c>
      <c r="O54" s="12">
        <f>O53*(1+Returns!G41)</f>
        <v>11816786.865121994</v>
      </c>
      <c r="P54" s="12">
        <f>P53*(1+Returns!H41)</f>
        <v>12544985.398865897</v>
      </c>
      <c r="Q54" s="12">
        <f t="shared" si="2"/>
        <v>123779592.58853096</v>
      </c>
      <c r="R54" s="12">
        <f t="shared" si="3"/>
        <v>438386.05708438053</v>
      </c>
      <c r="S54" s="12">
        <f t="shared" si="4"/>
        <v>123341206.53144658</v>
      </c>
      <c r="T54" t="b">
        <f t="shared" si="5"/>
        <v>0</v>
      </c>
      <c r="U54" s="12">
        <f t="shared" si="6"/>
        <v>42598946.832002722</v>
      </c>
      <c r="V54" s="12">
        <f>IF($T54=TRUE, $Q54*$C$8, $K54)</f>
        <v>18158557.046979863</v>
      </c>
      <c r="W54" s="12">
        <f>IF($T54=TRUE, $Q54*$C$9, $L54)</f>
        <v>6311717.2053013416</v>
      </c>
      <c r="X54" s="12">
        <f>IF($T54=TRUE, $Q54*$C$10, $M54)</f>
        <v>21037463.976945229</v>
      </c>
      <c r="Y54" s="12">
        <f>IF($T54=TRUE, $Q54*$C$11, $N54)</f>
        <v>11311135.263313908</v>
      </c>
      <c r="Z54" s="12">
        <f>IF($T54=TRUE, $Q54*$C$12, $O54)</f>
        <v>11816786.865121994</v>
      </c>
      <c r="AA54" s="12">
        <f>IF($T54=TRUE, $Q54*$C$13, $P54)</f>
        <v>12544985.398865897</v>
      </c>
      <c r="AB54" s="12">
        <f>U54-(1-$B$3)</f>
        <v>42598945.835544385</v>
      </c>
      <c r="AC54" s="12">
        <f t="shared" si="7"/>
        <v>18094245.490771808</v>
      </c>
      <c r="AD54" s="12">
        <f t="shared" si="7"/>
        <v>6289363.2068658993</v>
      </c>
      <c r="AE54" s="12">
        <f t="shared" si="7"/>
        <v>20962956.292026881</v>
      </c>
      <c r="AF54" s="12">
        <f t="shared" si="7"/>
        <v>11271074.992589671</v>
      </c>
      <c r="AG54" s="12">
        <f t="shared" si="7"/>
        <v>11774935.744974688</v>
      </c>
      <c r="AH54" s="12">
        <f t="shared" si="7"/>
        <v>12500555.242244914</v>
      </c>
      <c r="AI54" s="12">
        <f t="shared" si="8"/>
        <v>123492076.80501825</v>
      </c>
    </row>
    <row r="55" spans="1:35" x14ac:dyDescent="0.2">
      <c r="A55" s="1">
        <f>Returns!A42</f>
        <v>43646</v>
      </c>
      <c r="B55" s="20">
        <f t="shared" si="9"/>
        <v>123341206.53144658</v>
      </c>
      <c r="C55" s="18">
        <f t="shared" si="10"/>
        <v>0.35142633661891159</v>
      </c>
      <c r="D55" s="18">
        <f t="shared" si="11"/>
        <v>0.1483436829824514</v>
      </c>
      <c r="E55" s="18">
        <f t="shared" si="11"/>
        <v>5.1699001171078222E-2</v>
      </c>
      <c r="F55" s="18">
        <f t="shared" si="11"/>
        <v>0.16418034077841651</v>
      </c>
      <c r="G55" s="18">
        <f t="shared" si="11"/>
        <v>9.0085758725505852E-2</v>
      </c>
      <c r="H55" s="18">
        <f t="shared" si="11"/>
        <v>9.255570120149649E-2</v>
      </c>
      <c r="I55" s="18">
        <f t="shared" si="11"/>
        <v>0.10170917852213986</v>
      </c>
      <c r="J55" s="12">
        <f>J54*(1+Returns!B42)</f>
        <v>45566502.463054188</v>
      </c>
      <c r="K55" s="12">
        <f>K54*(1+Returns!C42)</f>
        <v>19234479.865771808</v>
      </c>
      <c r="L55" s="12">
        <f>L54*(1+Returns!D42)</f>
        <v>6703375.4125091536</v>
      </c>
      <c r="M55" s="12">
        <f>M54*(1+Returns!E42)</f>
        <v>21287886.316207878</v>
      </c>
      <c r="N55" s="12">
        <f>N54*(1+Returns!F42)</f>
        <v>11680663.966011271</v>
      </c>
      <c r="O55" s="12">
        <f>O54*(1+Returns!G42)</f>
        <v>12000920.66901949</v>
      </c>
      <c r="P55" s="12">
        <f>P54*(1+Returns!H42)</f>
        <v>13187775.219789552</v>
      </c>
      <c r="Q55" s="12">
        <f t="shared" si="2"/>
        <v>129661603.91236335</v>
      </c>
      <c r="R55" s="12">
        <f t="shared" si="3"/>
        <v>459218.18052295357</v>
      </c>
      <c r="S55" s="12">
        <f t="shared" si="4"/>
        <v>129202385.7318404</v>
      </c>
      <c r="T55" t="b">
        <f t="shared" si="5"/>
        <v>1</v>
      </c>
      <c r="U55" s="12">
        <f t="shared" si="6"/>
        <v>38898481.173709005</v>
      </c>
      <c r="V55" s="12">
        <f>IF($T55=TRUE, $Q55*$C$8, $K55)</f>
        <v>19449240.586854503</v>
      </c>
      <c r="W55" s="12">
        <f>IF($T55=TRUE, $Q55*$C$9, $L55)</f>
        <v>6483080.1956181675</v>
      </c>
      <c r="X55" s="12">
        <f>IF($T55=TRUE, $Q55*$C$10, $M55)</f>
        <v>25932320.78247267</v>
      </c>
      <c r="Y55" s="12">
        <f>IF($T55=TRUE, $Q55*$C$11, $N55)</f>
        <v>12966160.391236335</v>
      </c>
      <c r="Z55" s="12">
        <f>IF($T55=TRUE, $Q55*$C$12, $O55)</f>
        <v>12966160.391236335</v>
      </c>
      <c r="AA55" s="12">
        <f>IF($T55=TRUE, $Q55*$C$13, $P55)</f>
        <v>12966160.391236335</v>
      </c>
      <c r="AB55" s="12">
        <f>U55-(1-$B$3)</f>
        <v>38898480.177250668</v>
      </c>
      <c r="AC55" s="12">
        <f t="shared" si="7"/>
        <v>19380357.859776061</v>
      </c>
      <c r="AD55" s="12">
        <f t="shared" si="7"/>
        <v>6460119.2865920197</v>
      </c>
      <c r="AE55" s="12">
        <f t="shared" si="7"/>
        <v>25840477.146368079</v>
      </c>
      <c r="AF55" s="12">
        <f t="shared" si="7"/>
        <v>12920238.573184039</v>
      </c>
      <c r="AG55" s="12">
        <f t="shared" si="7"/>
        <v>12920238.573184039</v>
      </c>
      <c r="AH55" s="12">
        <f t="shared" si="7"/>
        <v>12920238.573184039</v>
      </c>
      <c r="AI55" s="12">
        <f t="shared" si="8"/>
        <v>129340150.18953896</v>
      </c>
    </row>
    <row r="56" spans="1:35" x14ac:dyDescent="0.2">
      <c r="A56" s="1">
        <f>Returns!A43</f>
        <v>43677</v>
      </c>
      <c r="B56" s="20">
        <f t="shared" si="9"/>
        <v>129202385.7318404</v>
      </c>
      <c r="C56" s="18">
        <f t="shared" si="10"/>
        <v>0.35642990474726993</v>
      </c>
      <c r="D56" s="18">
        <f t="shared" si="11"/>
        <v>0.14533850151880517</v>
      </c>
      <c r="E56" s="18">
        <f t="shared" si="11"/>
        <v>5.0285526520647945E-2</v>
      </c>
      <c r="F56" s="18">
        <f t="shared" si="11"/>
        <v>0.1641085381106959</v>
      </c>
      <c r="G56" s="18">
        <f t="shared" si="11"/>
        <v>9.0233551624333122E-2</v>
      </c>
      <c r="H56" s="18">
        <f t="shared" si="11"/>
        <v>9.4065190943647917E-2</v>
      </c>
      <c r="I56" s="18">
        <f t="shared" si="11"/>
        <v>9.9538786534599938E-2</v>
      </c>
      <c r="J56" s="12">
        <f>J55*(1+Returns!B43)</f>
        <v>46252760.319347717</v>
      </c>
      <c r="K56" s="12">
        <f>K55*(1+Returns!C43)</f>
        <v>18860109.06040268</v>
      </c>
      <c r="L56" s="12">
        <f>L55*(1+Returns!D43)</f>
        <v>6525390.7562579382</v>
      </c>
      <c r="M56" s="12">
        <f>M55*(1+Returns!E43)</f>
        <v>21295836.231740028</v>
      </c>
      <c r="N56" s="12">
        <f>N55*(1+Returns!F43)</f>
        <v>11709317.261140211</v>
      </c>
      <c r="O56" s="12">
        <f>O55*(1+Returns!G43)</f>
        <v>12206536.750038365</v>
      </c>
      <c r="P56" s="12">
        <f>P55*(1+Returns!H43)</f>
        <v>12916827.613912018</v>
      </c>
      <c r="Q56" s="12">
        <f t="shared" si="2"/>
        <v>129766777.99283896</v>
      </c>
      <c r="R56" s="12">
        <f t="shared" si="3"/>
        <v>459590.67205797136</v>
      </c>
      <c r="S56" s="12">
        <f t="shared" si="4"/>
        <v>129307187.32078099</v>
      </c>
      <c r="T56" t="b">
        <f t="shared" si="5"/>
        <v>1</v>
      </c>
      <c r="U56" s="12">
        <f t="shared" si="6"/>
        <v>38930033.397851691</v>
      </c>
      <c r="V56" s="12">
        <f>IF($T56=TRUE, $Q56*$C$8, $K56)</f>
        <v>19465016.698925845</v>
      </c>
      <c r="W56" s="12">
        <f>IF($T56=TRUE, $Q56*$C$9, $L56)</f>
        <v>6488338.8996419488</v>
      </c>
      <c r="X56" s="12">
        <f>IF($T56=TRUE, $Q56*$C$10, $M56)</f>
        <v>25953355.598567795</v>
      </c>
      <c r="Y56" s="12">
        <f>IF($T56=TRUE, $Q56*$C$11, $N56)</f>
        <v>12976677.799283898</v>
      </c>
      <c r="Z56" s="12">
        <f>IF($T56=TRUE, $Q56*$C$12, $O56)</f>
        <v>12976677.799283898</v>
      </c>
      <c r="AA56" s="12">
        <f>IF($T56=TRUE, $Q56*$C$13, $P56)</f>
        <v>12976677.799283898</v>
      </c>
      <c r="AB56" s="12">
        <f>U56-(1-$B$3)</f>
        <v>38930032.401393354</v>
      </c>
      <c r="AC56" s="12">
        <f t="shared" si="7"/>
        <v>19396078.09811715</v>
      </c>
      <c r="AD56" s="12">
        <f t="shared" si="7"/>
        <v>6465359.3660390498</v>
      </c>
      <c r="AE56" s="12">
        <f t="shared" si="7"/>
        <v>25861437.464156199</v>
      </c>
      <c r="AF56" s="12">
        <f t="shared" si="7"/>
        <v>12930718.7320781</v>
      </c>
      <c r="AG56" s="12">
        <f t="shared" si="7"/>
        <v>12930718.7320781</v>
      </c>
      <c r="AH56" s="12">
        <f t="shared" si="7"/>
        <v>12930718.7320781</v>
      </c>
      <c r="AI56" s="12">
        <f t="shared" si="8"/>
        <v>129445063.52594008</v>
      </c>
    </row>
    <row r="57" spans="1:35" x14ac:dyDescent="0.2">
      <c r="A57" s="1">
        <f>Returns!A44</f>
        <v>43708</v>
      </c>
      <c r="B57" s="20">
        <f t="shared" si="9"/>
        <v>129307187.32078099</v>
      </c>
      <c r="C57" s="18">
        <f t="shared" si="10"/>
        <v>0.34931696459738881</v>
      </c>
      <c r="D57" s="18">
        <f t="shared" si="11"/>
        <v>0.14207464265785424</v>
      </c>
      <c r="E57" s="18">
        <f t="shared" si="11"/>
        <v>4.8220517092511697E-2</v>
      </c>
      <c r="F57" s="18">
        <f t="shared" si="11"/>
        <v>0.17004816422042512</v>
      </c>
      <c r="G57" s="18">
        <f t="shared" si="11"/>
        <v>9.3423071246396025E-2</v>
      </c>
      <c r="H57" s="18">
        <f t="shared" si="11"/>
        <v>9.7251370954488534E-2</v>
      </c>
      <c r="I57" s="18">
        <f t="shared" si="11"/>
        <v>9.9665269230935716E-2</v>
      </c>
      <c r="J57" s="12">
        <f>J56*(1+Returns!B44)</f>
        <v>45481569.560047559</v>
      </c>
      <c r="K57" s="12">
        <f>K56*(1+Returns!C44)</f>
        <v>18498322.147651002</v>
      </c>
      <c r="L57" s="12">
        <f>L56*(1+Returns!D44)</f>
        <v>6278380.4528139057</v>
      </c>
      <c r="M57" s="12">
        <f>M56*(1+Returns!E44)</f>
        <v>22140514.757030696</v>
      </c>
      <c r="N57" s="12">
        <f>N56*(1+Returns!F44)</f>
        <v>12163817.804564772</v>
      </c>
      <c r="O57" s="12">
        <f>O56*(1+Returns!G44)</f>
        <v>12662267.914684676</v>
      </c>
      <c r="P57" s="12">
        <f>P56*(1+Returns!H44)</f>
        <v>12976560.930764355</v>
      </c>
      <c r="Q57" s="12">
        <f t="shared" si="2"/>
        <v>130201433.56755695</v>
      </c>
      <c r="R57" s="12">
        <f t="shared" si="3"/>
        <v>461130.07721843087</v>
      </c>
      <c r="S57" s="12">
        <f t="shared" si="4"/>
        <v>129740303.49033852</v>
      </c>
      <c r="T57" t="b">
        <f t="shared" si="5"/>
        <v>0</v>
      </c>
      <c r="U57" s="12">
        <f t="shared" si="6"/>
        <v>45481569.560047559</v>
      </c>
      <c r="V57" s="12">
        <f>IF($T57=TRUE, $Q57*$C$8, $K57)</f>
        <v>18498322.147651002</v>
      </c>
      <c r="W57" s="12">
        <f>IF($T57=TRUE, $Q57*$C$9, $L57)</f>
        <v>6278380.4528139057</v>
      </c>
      <c r="X57" s="12">
        <f>IF($T57=TRUE, $Q57*$C$10, $M57)</f>
        <v>22140514.757030696</v>
      </c>
      <c r="Y57" s="12">
        <f>IF($T57=TRUE, $Q57*$C$11, $N57)</f>
        <v>12163817.804564772</v>
      </c>
      <c r="Z57" s="12">
        <f>IF($T57=TRUE, $Q57*$C$12, $O57)</f>
        <v>12662267.914684676</v>
      </c>
      <c r="AA57" s="12">
        <f>IF($T57=TRUE, $Q57*$C$13, $P57)</f>
        <v>12976560.930764355</v>
      </c>
      <c r="AB57" s="12">
        <f>U57-(1-$B$3)</f>
        <v>45481568.563589223</v>
      </c>
      <c r="AC57" s="12">
        <f t="shared" si="7"/>
        <v>18432807.256711405</v>
      </c>
      <c r="AD57" s="12">
        <f t="shared" si="7"/>
        <v>6256144.5220435234</v>
      </c>
      <c r="AE57" s="12">
        <f t="shared" si="7"/>
        <v>22062100.433932878</v>
      </c>
      <c r="AF57" s="12">
        <f t="shared" si="7"/>
        <v>12120737.616506938</v>
      </c>
      <c r="AG57" s="12">
        <f t="shared" si="7"/>
        <v>12617422.382486833</v>
      </c>
      <c r="AH57" s="12">
        <f t="shared" si="7"/>
        <v>12930602.277467897</v>
      </c>
      <c r="AI57" s="12">
        <f t="shared" si="8"/>
        <v>129901383.0527387</v>
      </c>
    </row>
    <row r="58" spans="1:35" x14ac:dyDescent="0.2">
      <c r="A58" s="1">
        <f>Returns!A45</f>
        <v>43738</v>
      </c>
      <c r="B58" s="20">
        <f t="shared" si="9"/>
        <v>129740303.49033852</v>
      </c>
      <c r="C58" s="18">
        <f t="shared" si="10"/>
        <v>0.35137241503813244</v>
      </c>
      <c r="D58" s="18">
        <f t="shared" si="11"/>
        <v>0.14462255143352787</v>
      </c>
      <c r="E58" s="18">
        <f t="shared" si="11"/>
        <v>4.8386499526924164E-2</v>
      </c>
      <c r="F58" s="18">
        <f t="shared" si="11"/>
        <v>0.165786853950179</v>
      </c>
      <c r="G58" s="18">
        <f t="shared" si="11"/>
        <v>9.1493626254610841E-2</v>
      </c>
      <c r="H58" s="18">
        <f t="shared" si="11"/>
        <v>9.7808931102528057E-2</v>
      </c>
      <c r="I58" s="18">
        <f t="shared" si="11"/>
        <v>0.10052912269409764</v>
      </c>
      <c r="J58" s="12">
        <f>J57*(1+Returns!B45)</f>
        <v>46364871.751316451</v>
      </c>
      <c r="K58" s="12">
        <f>K57*(1+Returns!C45)</f>
        <v>19083473.15436241</v>
      </c>
      <c r="L58" s="12">
        <f>L57*(1+Returns!D45)</f>
        <v>6384775.0962963505</v>
      </c>
      <c r="M58" s="12">
        <f>M57*(1+Returns!E45)</f>
        <v>21876180.06558679</v>
      </c>
      <c r="N58" s="12">
        <f>N57*(1+Returns!F45)</f>
        <v>12072917.69587986</v>
      </c>
      <c r="O58" s="12">
        <f>O57*(1+Returns!G45)</f>
        <v>12906245.204848861</v>
      </c>
      <c r="P58" s="12">
        <f>P57*(1+Returns!H45)</f>
        <v>13265184.406915836</v>
      </c>
      <c r="Q58" s="12">
        <f t="shared" si="2"/>
        <v>131953647.37520656</v>
      </c>
      <c r="R58" s="12">
        <f t="shared" si="3"/>
        <v>467335.83445385657</v>
      </c>
      <c r="S58" s="12">
        <f t="shared" si="4"/>
        <v>131486311.54075271</v>
      </c>
      <c r="T58" t="b">
        <f t="shared" si="5"/>
        <v>1</v>
      </c>
      <c r="U58" s="12">
        <f t="shared" si="6"/>
        <v>39586094.212561965</v>
      </c>
      <c r="V58" s="12">
        <f>IF($T58=TRUE, $Q58*$C$8, $K58)</f>
        <v>19793047.106280982</v>
      </c>
      <c r="W58" s="12">
        <f>IF($T58=TRUE, $Q58*$C$9, $L58)</f>
        <v>6597682.3687603287</v>
      </c>
      <c r="X58" s="12">
        <f>IF($T58=TRUE, $Q58*$C$10, $M58)</f>
        <v>26390729.475041315</v>
      </c>
      <c r="Y58" s="12">
        <f>IF($T58=TRUE, $Q58*$C$11, $N58)</f>
        <v>13195364.737520657</v>
      </c>
      <c r="Z58" s="12">
        <f>IF($T58=TRUE, $Q58*$C$12, $O58)</f>
        <v>13195364.737520657</v>
      </c>
      <c r="AA58" s="12">
        <f>IF($T58=TRUE, $Q58*$C$13, $P58)</f>
        <v>13195364.737520657</v>
      </c>
      <c r="AB58" s="12">
        <f>U58-(1-$B$3)</f>
        <v>39586093.216103628</v>
      </c>
      <c r="AC58" s="12">
        <f t="shared" si="7"/>
        <v>19722946.731112905</v>
      </c>
      <c r="AD58" s="12">
        <f t="shared" si="7"/>
        <v>6574315.5770376362</v>
      </c>
      <c r="AE58" s="12">
        <f t="shared" si="7"/>
        <v>26297262.308150545</v>
      </c>
      <c r="AF58" s="12">
        <f t="shared" si="7"/>
        <v>13148631.154075272</v>
      </c>
      <c r="AG58" s="12">
        <f t="shared" si="7"/>
        <v>13148631.154075272</v>
      </c>
      <c r="AH58" s="12">
        <f t="shared" si="7"/>
        <v>13148631.154075272</v>
      </c>
      <c r="AI58" s="12">
        <f t="shared" si="8"/>
        <v>131626511.29463053</v>
      </c>
    </row>
    <row r="59" spans="1:35" x14ac:dyDescent="0.2">
      <c r="A59" s="1">
        <f>Returns!A46</f>
        <v>43769</v>
      </c>
      <c r="B59" s="20">
        <f t="shared" si="9"/>
        <v>131486311.54075271</v>
      </c>
      <c r="C59" s="18">
        <f t="shared" si="10"/>
        <v>0.35278574917699146</v>
      </c>
      <c r="D59" s="18">
        <f t="shared" si="11"/>
        <v>0.14686159665079382</v>
      </c>
      <c r="E59" s="18">
        <f t="shared" si="11"/>
        <v>4.9518633515637941E-2</v>
      </c>
      <c r="F59" s="18">
        <f t="shared" si="11"/>
        <v>0.16316075744000491</v>
      </c>
      <c r="G59" s="18">
        <f t="shared" si="11"/>
        <v>9.0277417378330255E-2</v>
      </c>
      <c r="H59" s="18">
        <f t="shared" si="11"/>
        <v>9.7161472891650572E-2</v>
      </c>
      <c r="I59" s="18">
        <f t="shared" si="11"/>
        <v>0.10023437294659086</v>
      </c>
      <c r="J59" s="12">
        <f>J58*(1+Returns!B46)</f>
        <v>47390861.219636478</v>
      </c>
      <c r="K59" s="12">
        <f>K58*(1+Returns!C46)</f>
        <v>19728397.651006706</v>
      </c>
      <c r="L59" s="12">
        <f>L58*(1+Returns!D46)</f>
        <v>6651999.6745908521</v>
      </c>
      <c r="M59" s="12">
        <f>M58*(1+Returns!E46)</f>
        <v>21917917.122130569</v>
      </c>
      <c r="N59" s="12">
        <f>N58*(1+Returns!F46)</f>
        <v>12127260.152158884</v>
      </c>
      <c r="O59" s="12">
        <f>O58*(1+Returns!G46)</f>
        <v>13052017.799601048</v>
      </c>
      <c r="P59" s="12">
        <f>P58*(1+Returns!H46)</f>
        <v>13464810.494275425</v>
      </c>
      <c r="Q59" s="12">
        <f t="shared" si="2"/>
        <v>134333264.11339998</v>
      </c>
      <c r="R59" s="12">
        <f t="shared" si="3"/>
        <v>475763.64373495831</v>
      </c>
      <c r="S59" s="12">
        <f t="shared" si="4"/>
        <v>133857500.46966502</v>
      </c>
      <c r="T59" t="b">
        <f t="shared" si="5"/>
        <v>1</v>
      </c>
      <c r="U59" s="12">
        <f t="shared" si="6"/>
        <v>40299979.234019995</v>
      </c>
      <c r="V59" s="12">
        <f>IF($T59=TRUE, $Q59*$C$8, $K59)</f>
        <v>20149989.617009997</v>
      </c>
      <c r="W59" s="12">
        <f>IF($T59=TRUE, $Q59*$C$9, $L59)</f>
        <v>6716663.2056699991</v>
      </c>
      <c r="X59" s="12">
        <f>IF($T59=TRUE, $Q59*$C$10, $M59)</f>
        <v>26866652.822679996</v>
      </c>
      <c r="Y59" s="12">
        <f>IF($T59=TRUE, $Q59*$C$11, $N59)</f>
        <v>13433326.411339998</v>
      </c>
      <c r="Z59" s="12">
        <f>IF($T59=TRUE, $Q59*$C$12, $O59)</f>
        <v>13433326.411339998</v>
      </c>
      <c r="AA59" s="12">
        <f>IF($T59=TRUE, $Q59*$C$13, $P59)</f>
        <v>13433326.411339998</v>
      </c>
      <c r="AB59" s="12">
        <f>U59-(1-$B$3)</f>
        <v>40299978.237561658</v>
      </c>
      <c r="AC59" s="12">
        <f t="shared" si="7"/>
        <v>20078625.070449755</v>
      </c>
      <c r="AD59" s="12">
        <f t="shared" si="7"/>
        <v>6692875.0234832512</v>
      </c>
      <c r="AE59" s="12">
        <f t="shared" si="7"/>
        <v>26771500.093933005</v>
      </c>
      <c r="AF59" s="12">
        <f t="shared" ref="AF59:AH122" si="12">Y59*(1-$B$3)</f>
        <v>13385750.046966502</v>
      </c>
      <c r="AG59" s="12">
        <f t="shared" si="12"/>
        <v>13385750.046966502</v>
      </c>
      <c r="AH59" s="12">
        <f t="shared" si="12"/>
        <v>13385750.046966502</v>
      </c>
      <c r="AI59" s="12">
        <f t="shared" si="8"/>
        <v>134000228.5663272</v>
      </c>
    </row>
    <row r="60" spans="1:35" x14ac:dyDescent="0.2">
      <c r="A60" s="1">
        <f>Returns!A47</f>
        <v>43799</v>
      </c>
      <c r="B60" s="20">
        <f t="shared" si="9"/>
        <v>133857500.46966502</v>
      </c>
      <c r="C60" s="18">
        <f t="shared" si="10"/>
        <v>0.36132907370620232</v>
      </c>
      <c r="D60" s="18">
        <f t="shared" si="11"/>
        <v>0.14681660293704071</v>
      </c>
      <c r="E60" s="18">
        <f t="shared" si="11"/>
        <v>4.8903061921176633E-2</v>
      </c>
      <c r="F60" s="18">
        <f t="shared" si="11"/>
        <v>0.16017320996146076</v>
      </c>
      <c r="G60" s="18">
        <f t="shared" si="11"/>
        <v>8.9661089594385721E-2</v>
      </c>
      <c r="H60" s="18">
        <f t="shared" si="11"/>
        <v>9.4790955399329718E-2</v>
      </c>
      <c r="I60" s="18">
        <f t="shared" si="11"/>
        <v>9.8326006480404224E-2</v>
      </c>
      <c r="J60" s="12">
        <f>J59*(1+Returns!B47)</f>
        <v>49103108.544250026</v>
      </c>
      <c r="K60" s="12">
        <f>K59*(1+Returns!C47)</f>
        <v>19951761.74496644</v>
      </c>
      <c r="L60" s="12">
        <f>L59*(1+Returns!D47)</f>
        <v>6645721.4002497178</v>
      </c>
      <c r="M60" s="12">
        <f>M59*(1+Returns!E47)</f>
        <v>21766868.727019768</v>
      </c>
      <c r="N60" s="12">
        <f>N59*(1+Returns!F47)</f>
        <v>12184566.742416764</v>
      </c>
      <c r="O60" s="12">
        <f>O59*(1+Returns!G47)</f>
        <v>12881694.030995861</v>
      </c>
      <c r="P60" s="12">
        <f>P59*(1+Returns!H47)</f>
        <v>13362092.674711451</v>
      </c>
      <c r="Q60" s="12">
        <f t="shared" si="2"/>
        <v>135895813.86461002</v>
      </c>
      <c r="R60" s="12">
        <f t="shared" si="3"/>
        <v>481297.67410382716</v>
      </c>
      <c r="S60" s="12">
        <f t="shared" si="4"/>
        <v>135414516.19050619</v>
      </c>
      <c r="T60" t="b">
        <f t="shared" si="5"/>
        <v>1</v>
      </c>
      <c r="U60" s="12">
        <f t="shared" si="6"/>
        <v>40768744.159383006</v>
      </c>
      <c r="V60" s="12">
        <f>IF($T60=TRUE, $Q60*$C$8, $K60)</f>
        <v>20384372.079691503</v>
      </c>
      <c r="W60" s="12">
        <f>IF($T60=TRUE, $Q60*$C$9, $L60)</f>
        <v>6794790.6932305014</v>
      </c>
      <c r="X60" s="12">
        <f>IF($T60=TRUE, $Q60*$C$10, $M60)</f>
        <v>27179162.772922006</v>
      </c>
      <c r="Y60" s="12">
        <f>IF($T60=TRUE, $Q60*$C$11, $N60)</f>
        <v>13589581.386461003</v>
      </c>
      <c r="Z60" s="12">
        <f>IF($T60=TRUE, $Q60*$C$12, $O60)</f>
        <v>13589581.386461003</v>
      </c>
      <c r="AA60" s="12">
        <f>IF($T60=TRUE, $Q60*$C$13, $P60)</f>
        <v>13589581.386461003</v>
      </c>
      <c r="AB60" s="12">
        <f>U60-(1-$B$3)</f>
        <v>40768743.16292467</v>
      </c>
      <c r="AC60" s="12">
        <f t="shared" ref="AC60:AH123" si="13">V60*(1-$B$3)</f>
        <v>20312177.428575929</v>
      </c>
      <c r="AD60" s="12">
        <f t="shared" si="13"/>
        <v>6770725.8095253101</v>
      </c>
      <c r="AE60" s="12">
        <f t="shared" si="13"/>
        <v>27082903.23810124</v>
      </c>
      <c r="AF60" s="12">
        <f t="shared" si="12"/>
        <v>13541451.61905062</v>
      </c>
      <c r="AG60" s="12">
        <f t="shared" si="12"/>
        <v>13541451.61905062</v>
      </c>
      <c r="AH60" s="12">
        <f t="shared" si="12"/>
        <v>13541451.61905062</v>
      </c>
      <c r="AI60" s="12">
        <f t="shared" si="8"/>
        <v>135558904.496279</v>
      </c>
    </row>
    <row r="61" spans="1:35" x14ac:dyDescent="0.2">
      <c r="A61" s="1">
        <f>Returns!A48</f>
        <v>43830</v>
      </c>
      <c r="B61" s="20">
        <f t="shared" si="9"/>
        <v>135414516.19050619</v>
      </c>
      <c r="C61" s="18">
        <f t="shared" si="10"/>
        <v>0.36381179843336087</v>
      </c>
      <c r="D61" s="18">
        <f t="shared" si="11"/>
        <v>0.1479497482585666</v>
      </c>
      <c r="E61" s="18">
        <f t="shared" si="11"/>
        <v>5.1231946537011089E-2</v>
      </c>
      <c r="F61" s="18">
        <f t="shared" si="11"/>
        <v>0.15524058631298623</v>
      </c>
      <c r="G61" s="18">
        <f t="shared" si="11"/>
        <v>8.8201562198048603E-2</v>
      </c>
      <c r="H61" s="18">
        <f t="shared" si="11"/>
        <v>9.3462132113895036E-2</v>
      </c>
      <c r="I61" s="18">
        <f t="shared" si="11"/>
        <v>0.1001022261461316</v>
      </c>
      <c r="J61" s="12">
        <f>J60*(1+Returns!B48)</f>
        <v>50531679.972821459</v>
      </c>
      <c r="K61" s="12">
        <f>K60*(1+Returns!C48)</f>
        <v>20549496.644295298</v>
      </c>
      <c r="L61" s="12">
        <f>L60*(1+Returns!D48)</f>
        <v>7115866.8793616332</v>
      </c>
      <c r="M61" s="12">
        <f>M60*(1+Returns!E48)</f>
        <v>21562158.402066972</v>
      </c>
      <c r="N61" s="12">
        <f>N60*(1+Returns!F48)</f>
        <v>12250765.734611213</v>
      </c>
      <c r="O61" s="12">
        <f>O60*(1+Returns!G48)</f>
        <v>12981433.174773673</v>
      </c>
      <c r="P61" s="12">
        <f>P60*(1+Returns!H48)</f>
        <v>13903709.769626545</v>
      </c>
      <c r="Q61" s="12">
        <f t="shared" si="2"/>
        <v>138895110.57755679</v>
      </c>
      <c r="R61" s="12">
        <f t="shared" si="3"/>
        <v>491920.18329551368</v>
      </c>
      <c r="S61" s="12">
        <f t="shared" si="4"/>
        <v>138403190.39426127</v>
      </c>
      <c r="T61" t="b">
        <f t="shared" si="5"/>
        <v>1</v>
      </c>
      <c r="U61" s="12">
        <f t="shared" si="6"/>
        <v>41668533.173267037</v>
      </c>
      <c r="V61" s="12">
        <f>IF($T61=TRUE, $Q61*$C$8, $K61)</f>
        <v>20834266.586633518</v>
      </c>
      <c r="W61" s="12">
        <f>IF($T61=TRUE, $Q61*$C$9, $L61)</f>
        <v>6944755.5288778394</v>
      </c>
      <c r="X61" s="12">
        <f>IF($T61=TRUE, $Q61*$C$10, $M61)</f>
        <v>27779022.115511358</v>
      </c>
      <c r="Y61" s="12">
        <f>IF($T61=TRUE, $Q61*$C$11, $N61)</f>
        <v>13889511.057755679</v>
      </c>
      <c r="Z61" s="12">
        <f>IF($T61=TRUE, $Q61*$C$12, $O61)</f>
        <v>13889511.057755679</v>
      </c>
      <c r="AA61" s="12">
        <f>IF($T61=TRUE, $Q61*$C$13, $P61)</f>
        <v>13889511.057755679</v>
      </c>
      <c r="AB61" s="12">
        <f>U61-(1-$B$3)</f>
        <v>41668532.1768087</v>
      </c>
      <c r="AC61" s="12">
        <f t="shared" si="13"/>
        <v>20760478.559139192</v>
      </c>
      <c r="AD61" s="12">
        <f t="shared" si="13"/>
        <v>6920159.5197130637</v>
      </c>
      <c r="AE61" s="12">
        <f t="shared" si="13"/>
        <v>27680638.078852255</v>
      </c>
      <c r="AF61" s="12">
        <f t="shared" si="12"/>
        <v>13840319.039426127</v>
      </c>
      <c r="AG61" s="12">
        <f t="shared" si="12"/>
        <v>13840319.039426127</v>
      </c>
      <c r="AH61" s="12">
        <f t="shared" si="12"/>
        <v>13840319.039426127</v>
      </c>
      <c r="AI61" s="12">
        <f t="shared" si="8"/>
        <v>138550765.4527916</v>
      </c>
    </row>
    <row r="62" spans="1:35" x14ac:dyDescent="0.2">
      <c r="A62" s="1">
        <f>Returns!A49</f>
        <v>43861</v>
      </c>
      <c r="B62" s="20">
        <f t="shared" si="9"/>
        <v>138403190.39426127</v>
      </c>
      <c r="C62" s="18">
        <f t="shared" si="10"/>
        <v>0.3627644416975066</v>
      </c>
      <c r="D62" s="18">
        <f t="shared" si="11"/>
        <v>0.14343090350739143</v>
      </c>
      <c r="E62" s="18">
        <f t="shared" si="11"/>
        <v>4.7963876651245643E-2</v>
      </c>
      <c r="F62" s="18">
        <f t="shared" si="11"/>
        <v>0.16025701507376541</v>
      </c>
      <c r="G62" s="18">
        <f t="shared" si="11"/>
        <v>9.0129154072242451E-2</v>
      </c>
      <c r="H62" s="18">
        <f t="shared" si="11"/>
        <v>9.4368929116941364E-2</v>
      </c>
      <c r="I62" s="18">
        <f t="shared" si="11"/>
        <v>0.10108567988090701</v>
      </c>
      <c r="J62" s="12">
        <f>J61*(1+Returns!B49)</f>
        <v>50509597.418039739</v>
      </c>
      <c r="K62" s="12">
        <f>K61*(1+Returns!C49)</f>
        <v>19970637.583892614</v>
      </c>
      <c r="L62" s="12">
        <f>L61*(1+Returns!D49)</f>
        <v>6678262.3151446134</v>
      </c>
      <c r="M62" s="12">
        <f>M61*(1+Returns!E49)</f>
        <v>22313425.419854909</v>
      </c>
      <c r="N62" s="12">
        <f>N61*(1+Returns!F49)</f>
        <v>12549155.221816035</v>
      </c>
      <c r="O62" s="12">
        <f>O61*(1+Returns!G49)</f>
        <v>13139481.356452359</v>
      </c>
      <c r="P62" s="12">
        <f>P61*(1+Returns!H49)</f>
        <v>14074689.822468745</v>
      </c>
      <c r="Q62" s="12">
        <f t="shared" si="2"/>
        <v>139235249.13766903</v>
      </c>
      <c r="R62" s="12">
        <f t="shared" si="3"/>
        <v>493124.84069591115</v>
      </c>
      <c r="S62" s="12">
        <f t="shared" si="4"/>
        <v>138742124.29697311</v>
      </c>
      <c r="T62" t="b">
        <f t="shared" si="5"/>
        <v>1</v>
      </c>
      <c r="U62" s="12">
        <f t="shared" si="6"/>
        <v>41770574.74130071</v>
      </c>
      <c r="V62" s="12">
        <f>IF($T62=TRUE, $Q62*$C$8, $K62)</f>
        <v>20885287.370650355</v>
      </c>
      <c r="W62" s="12">
        <f>IF($T62=TRUE, $Q62*$C$9, $L62)</f>
        <v>6961762.4568834519</v>
      </c>
      <c r="X62" s="12">
        <f>IF($T62=TRUE, $Q62*$C$10, $M62)</f>
        <v>27847049.827533808</v>
      </c>
      <c r="Y62" s="12">
        <f>IF($T62=TRUE, $Q62*$C$11, $N62)</f>
        <v>13923524.913766904</v>
      </c>
      <c r="Z62" s="12">
        <f>IF($T62=TRUE, $Q62*$C$12, $O62)</f>
        <v>13923524.913766904</v>
      </c>
      <c r="AA62" s="12">
        <f>IF($T62=TRUE, $Q62*$C$13, $P62)</f>
        <v>13923524.913766904</v>
      </c>
      <c r="AB62" s="12">
        <f>U62-(1-$B$3)</f>
        <v>41770573.744842373</v>
      </c>
      <c r="AC62" s="12">
        <f t="shared" si="13"/>
        <v>20811318.644545969</v>
      </c>
      <c r="AD62" s="12">
        <f t="shared" si="13"/>
        <v>6937106.2148486562</v>
      </c>
      <c r="AE62" s="12">
        <f t="shared" si="13"/>
        <v>27748424.859394625</v>
      </c>
      <c r="AF62" s="12">
        <f t="shared" si="12"/>
        <v>13874212.429697312</v>
      </c>
      <c r="AG62" s="12">
        <f t="shared" si="12"/>
        <v>13874212.429697312</v>
      </c>
      <c r="AH62" s="12">
        <f t="shared" si="12"/>
        <v>13874212.429697312</v>
      </c>
      <c r="AI62" s="12">
        <f t="shared" si="8"/>
        <v>138890060.75272354</v>
      </c>
    </row>
    <row r="63" spans="1:35" x14ac:dyDescent="0.2">
      <c r="A63" s="1">
        <f>Returns!A50</f>
        <v>43890</v>
      </c>
      <c r="B63" s="20">
        <f t="shared" si="9"/>
        <v>138742124.29697311</v>
      </c>
      <c r="C63" s="18">
        <f t="shared" si="10"/>
        <v>0.3522546572876461</v>
      </c>
      <c r="D63" s="18">
        <f t="shared" si="11"/>
        <v>0.13949275923464052</v>
      </c>
      <c r="E63" s="18">
        <f t="shared" si="11"/>
        <v>4.866375965255508E-2</v>
      </c>
      <c r="F63" s="18">
        <f t="shared" si="11"/>
        <v>0.1739772812763139</v>
      </c>
      <c r="G63" s="18">
        <f t="shared" si="11"/>
        <v>9.6082694626570708E-2</v>
      </c>
      <c r="H63" s="18">
        <f t="shared" si="11"/>
        <v>9.2521828144438059E-2</v>
      </c>
      <c r="I63" s="18">
        <f t="shared" si="11"/>
        <v>9.7007019777835671E-2</v>
      </c>
      <c r="J63" s="12">
        <f>J62*(1+Returns!B50)</f>
        <v>46514353.660608105</v>
      </c>
      <c r="K63" s="12">
        <f>K62*(1+Returns!C50)</f>
        <v>18419672.818791945</v>
      </c>
      <c r="L63" s="12">
        <f>L62*(1+Returns!D50)</f>
        <v>6425928.7424704935</v>
      </c>
      <c r="M63" s="12">
        <f>M62*(1+Returns!E50)</f>
        <v>22973268.409023151</v>
      </c>
      <c r="N63" s="12">
        <f>N62*(1+Returns!F50)</f>
        <v>12687481.47416264</v>
      </c>
      <c r="O63" s="12">
        <f>O62*(1+Returns!G50)</f>
        <v>12217277.888599053</v>
      </c>
      <c r="P63" s="12">
        <f>P62*(1+Returns!H50)</f>
        <v>12809536.317424016</v>
      </c>
      <c r="Q63" s="12">
        <f t="shared" si="2"/>
        <v>132047519.3110794</v>
      </c>
      <c r="R63" s="12">
        <f t="shared" si="3"/>
        <v>467668.29756007291</v>
      </c>
      <c r="S63" s="12">
        <f t="shared" si="4"/>
        <v>131579851.01351933</v>
      </c>
      <c r="T63" t="b">
        <f t="shared" si="5"/>
        <v>1</v>
      </c>
      <c r="U63" s="12">
        <f t="shared" si="6"/>
        <v>39614255.793323815</v>
      </c>
      <c r="V63" s="12">
        <f>IF($T63=TRUE, $Q63*$C$8, $K63)</f>
        <v>19807127.896661907</v>
      </c>
      <c r="W63" s="12">
        <f>IF($T63=TRUE, $Q63*$C$9, $L63)</f>
        <v>6602375.9655539701</v>
      </c>
      <c r="X63" s="12">
        <f>IF($T63=TRUE, $Q63*$C$10, $M63)</f>
        <v>26409503.86221588</v>
      </c>
      <c r="Y63" s="12">
        <f>IF($T63=TRUE, $Q63*$C$11, $N63)</f>
        <v>13204751.93110794</v>
      </c>
      <c r="Z63" s="12">
        <f>IF($T63=TRUE, $Q63*$C$12, $O63)</f>
        <v>13204751.93110794</v>
      </c>
      <c r="AA63" s="12">
        <f>IF($T63=TRUE, $Q63*$C$13, $P63)</f>
        <v>13204751.93110794</v>
      </c>
      <c r="AB63" s="12">
        <f>U63-(1-$B$3)</f>
        <v>39614254.796865478</v>
      </c>
      <c r="AC63" s="12">
        <f t="shared" si="13"/>
        <v>19736977.652027898</v>
      </c>
      <c r="AD63" s="12">
        <f t="shared" si="13"/>
        <v>6578992.5506759668</v>
      </c>
      <c r="AE63" s="12">
        <f t="shared" si="13"/>
        <v>26315970.202703867</v>
      </c>
      <c r="AF63" s="12">
        <f t="shared" si="12"/>
        <v>13157985.101351934</v>
      </c>
      <c r="AG63" s="12">
        <f t="shared" si="12"/>
        <v>13157985.101351934</v>
      </c>
      <c r="AH63" s="12">
        <f t="shared" si="12"/>
        <v>13157985.101351934</v>
      </c>
      <c r="AI63" s="12">
        <f t="shared" si="8"/>
        <v>131720150.506329</v>
      </c>
    </row>
    <row r="64" spans="1:35" x14ac:dyDescent="0.2">
      <c r="A64" s="1">
        <f>Returns!A51</f>
        <v>43921</v>
      </c>
      <c r="B64" s="20">
        <f t="shared" si="9"/>
        <v>131579851.01351933</v>
      </c>
      <c r="C64" s="18">
        <f t="shared" si="10"/>
        <v>0.34677747769182815</v>
      </c>
      <c r="D64" s="18">
        <f t="shared" si="11"/>
        <v>0.13477900821427904</v>
      </c>
      <c r="E64" s="18">
        <f t="shared" si="11"/>
        <v>4.6108845901574699E-2</v>
      </c>
      <c r="F64" s="18">
        <f t="shared" si="11"/>
        <v>0.2030222021806847</v>
      </c>
      <c r="G64" s="18">
        <f t="shared" si="11"/>
        <v>0.10098829524149538</v>
      </c>
      <c r="H64" s="18">
        <f t="shared" si="11"/>
        <v>8.3895293951749147E-2</v>
      </c>
      <c r="I64" s="18">
        <f t="shared" si="11"/>
        <v>8.4428876818388898E-2</v>
      </c>
      <c r="J64" s="12">
        <f>J63*(1+Returns!B51)</f>
        <v>40706641.753015108</v>
      </c>
      <c r="K64" s="12">
        <f>K63*(1+Returns!C51)</f>
        <v>15821098.993288588</v>
      </c>
      <c r="L64" s="12">
        <f>L63*(1+Returns!D51)</f>
        <v>5412509.1521323165</v>
      </c>
      <c r="M64" s="12">
        <f>M63*(1+Returns!E51)</f>
        <v>23831859.286495078</v>
      </c>
      <c r="N64" s="12">
        <f>N63*(1+Returns!F51)</f>
        <v>11854559.826104147</v>
      </c>
      <c r="O64" s="12">
        <f>O63*(1+Returns!G51)</f>
        <v>9848089.6117845681</v>
      </c>
      <c r="P64" s="12">
        <f>P63*(1+Returns!H51)</f>
        <v>9910724.4943681303</v>
      </c>
      <c r="Q64" s="12">
        <f t="shared" si="2"/>
        <v>117385483.11718793</v>
      </c>
      <c r="R64" s="12">
        <f t="shared" si="3"/>
        <v>415740.25270670728</v>
      </c>
      <c r="S64" s="12">
        <f t="shared" si="4"/>
        <v>116969742.86448123</v>
      </c>
      <c r="T64" t="b">
        <f t="shared" si="5"/>
        <v>0</v>
      </c>
      <c r="U64" s="12">
        <f t="shared" si="6"/>
        <v>40706641.753015108</v>
      </c>
      <c r="V64" s="12">
        <f>IF($T64=TRUE, $Q64*$C$8, $K64)</f>
        <v>15821098.993288588</v>
      </c>
      <c r="W64" s="12">
        <f>IF($T64=TRUE, $Q64*$C$9, $L64)</f>
        <v>5412509.1521323165</v>
      </c>
      <c r="X64" s="12">
        <f>IF($T64=TRUE, $Q64*$C$10, $M64)</f>
        <v>23831859.286495078</v>
      </c>
      <c r="Y64" s="12">
        <f>IF($T64=TRUE, $Q64*$C$11, $N64)</f>
        <v>11854559.826104147</v>
      </c>
      <c r="Z64" s="12">
        <f>IF($T64=TRUE, $Q64*$C$12, $O64)</f>
        <v>9848089.6117845681</v>
      </c>
      <c r="AA64" s="12">
        <f>IF($T64=TRUE, $Q64*$C$13, $P64)</f>
        <v>9910724.4943681303</v>
      </c>
      <c r="AB64" s="12">
        <f>U64-(1-$B$3)</f>
        <v>40706640.756556772</v>
      </c>
      <c r="AC64" s="12">
        <f t="shared" si="13"/>
        <v>15765065.934354024</v>
      </c>
      <c r="AD64" s="12">
        <f t="shared" si="13"/>
        <v>5393339.8488851814</v>
      </c>
      <c r="AE64" s="12">
        <f t="shared" si="13"/>
        <v>23747454.784855407</v>
      </c>
      <c r="AF64" s="12">
        <f t="shared" si="12"/>
        <v>11812574.926720029</v>
      </c>
      <c r="AG64" s="12">
        <f t="shared" si="12"/>
        <v>9813210.9610761646</v>
      </c>
      <c r="AH64" s="12">
        <f t="shared" si="12"/>
        <v>9875624.0117839091</v>
      </c>
      <c r="AI64" s="12">
        <f t="shared" si="8"/>
        <v>117113911.22423148</v>
      </c>
    </row>
    <row r="65" spans="1:35" x14ac:dyDescent="0.2">
      <c r="A65" s="1">
        <f>Returns!A52</f>
        <v>43951</v>
      </c>
      <c r="B65" s="20">
        <f t="shared" si="9"/>
        <v>116969742.86448123</v>
      </c>
      <c r="C65" s="18">
        <f t="shared" si="10"/>
        <v>0.36361061718038656</v>
      </c>
      <c r="D65" s="18">
        <f t="shared" si="11"/>
        <v>0.13267910047351383</v>
      </c>
      <c r="E65" s="18">
        <f t="shared" si="11"/>
        <v>4.6054872659549086E-2</v>
      </c>
      <c r="F65" s="18">
        <f t="shared" si="11"/>
        <v>0.18937973034160518</v>
      </c>
      <c r="G65" s="18">
        <f t="shared" si="11"/>
        <v>9.8509233418838091E-2</v>
      </c>
      <c r="H65" s="18">
        <f t="shared" si="11"/>
        <v>8.5049165064600807E-2</v>
      </c>
      <c r="I65" s="18">
        <f t="shared" si="11"/>
        <v>8.4717280861506455E-2</v>
      </c>
      <c r="J65" s="12">
        <f>J64*(1+Returns!B52)</f>
        <v>45875658.229998291</v>
      </c>
      <c r="K65" s="12">
        <f>K64*(1+Returns!C52)</f>
        <v>16739723.154362414</v>
      </c>
      <c r="L65" s="12">
        <f>L64*(1+Returns!D52)</f>
        <v>5810604.8011997715</v>
      </c>
      <c r="M65" s="12">
        <f>M64*(1+Returns!E52)</f>
        <v>23893471.131869223</v>
      </c>
      <c r="N65" s="12">
        <f>N64*(1+Returns!F52)</f>
        <v>12428613.773342563</v>
      </c>
      <c r="O65" s="12">
        <f>O64*(1+Returns!G52)</f>
        <v>10730397.422126751</v>
      </c>
      <c r="P65" s="12">
        <f>P64*(1+Returns!H52)</f>
        <v>10688524.590163931</v>
      </c>
      <c r="Q65" s="12">
        <f t="shared" si="2"/>
        <v>126166993.10306294</v>
      </c>
      <c r="R65" s="12">
        <f t="shared" si="3"/>
        <v>446841.43390668131</v>
      </c>
      <c r="S65" s="12">
        <f t="shared" si="4"/>
        <v>125720151.66915627</v>
      </c>
      <c r="T65" t="b">
        <f t="shared" si="5"/>
        <v>1</v>
      </c>
      <c r="U65" s="12">
        <f t="shared" si="6"/>
        <v>37850097.93091888</v>
      </c>
      <c r="V65" s="12">
        <f>IF($T65=TRUE, $Q65*$C$8, $K65)</f>
        <v>18925048.96545944</v>
      </c>
      <c r="W65" s="12">
        <f>IF($T65=TRUE, $Q65*$C$9, $L65)</f>
        <v>6308349.6551531479</v>
      </c>
      <c r="X65" s="12">
        <f>IF($T65=TRUE, $Q65*$C$10, $M65)</f>
        <v>25233398.620612592</v>
      </c>
      <c r="Y65" s="12">
        <f>IF($T65=TRUE, $Q65*$C$11, $N65)</f>
        <v>12616699.310306296</v>
      </c>
      <c r="Z65" s="12">
        <f>IF($T65=TRUE, $Q65*$C$12, $O65)</f>
        <v>12616699.310306296</v>
      </c>
      <c r="AA65" s="12">
        <f>IF($T65=TRUE, $Q65*$C$13, $P65)</f>
        <v>12616699.310306296</v>
      </c>
      <c r="AB65" s="12">
        <f>U65-(1-$B$3)</f>
        <v>37850096.934460543</v>
      </c>
      <c r="AC65" s="12">
        <f t="shared" si="13"/>
        <v>18858022.750373438</v>
      </c>
      <c r="AD65" s="12">
        <f t="shared" si="13"/>
        <v>6286007.5834578136</v>
      </c>
      <c r="AE65" s="12">
        <f t="shared" si="13"/>
        <v>25144030.333831254</v>
      </c>
      <c r="AF65" s="12">
        <f t="shared" si="12"/>
        <v>12572015.166915627</v>
      </c>
      <c r="AG65" s="12">
        <f t="shared" si="12"/>
        <v>12572015.166915627</v>
      </c>
      <c r="AH65" s="12">
        <f t="shared" si="12"/>
        <v>12572015.166915627</v>
      </c>
      <c r="AI65" s="12">
        <f t="shared" si="8"/>
        <v>125854203.10286993</v>
      </c>
    </row>
    <row r="66" spans="1:35" x14ac:dyDescent="0.2">
      <c r="A66" s="1">
        <f>Returns!A53</f>
        <v>43982</v>
      </c>
      <c r="B66" s="20">
        <f t="shared" si="9"/>
        <v>125720151.66915627</v>
      </c>
      <c r="C66" s="18">
        <f t="shared" si="10"/>
        <v>0.36801603801835353</v>
      </c>
      <c r="D66" s="18">
        <f t="shared" si="11"/>
        <v>0.13514489815196068</v>
      </c>
      <c r="E66" s="18">
        <f t="shared" si="11"/>
        <v>4.5817528559909851E-2</v>
      </c>
      <c r="F66" s="18">
        <f t="shared" si="11"/>
        <v>0.18337296577627782</v>
      </c>
      <c r="G66" s="18">
        <f t="shared" si="11"/>
        <v>9.7281840448199652E-2</v>
      </c>
      <c r="H66" s="18">
        <f t="shared" si="11"/>
        <v>8.3588767480565027E-2</v>
      </c>
      <c r="I66" s="18">
        <f t="shared" si="11"/>
        <v>8.6777961564733497E-2</v>
      </c>
      <c r="J66" s="12">
        <f>J65*(1+Returns!B53)</f>
        <v>48060132.495328687</v>
      </c>
      <c r="K66" s="12">
        <f>K65*(1+Returns!C53)</f>
        <v>17648909.39597315</v>
      </c>
      <c r="L66" s="12">
        <f>L65*(1+Returns!D53)</f>
        <v>5983425.3557394054</v>
      </c>
      <c r="M66" s="12">
        <f>M65*(1+Returns!E53)</f>
        <v>23947133.061711214</v>
      </c>
      <c r="N66" s="12">
        <f>N65*(1+Returns!F53)</f>
        <v>12704278.233376157</v>
      </c>
      <c r="O66" s="12">
        <f>O65*(1+Returns!G53)</f>
        <v>10916065.674390063</v>
      </c>
      <c r="P66" s="12">
        <f>P65*(1+Returns!H53)</f>
        <v>11332550.48593192</v>
      </c>
      <c r="Q66" s="12">
        <f t="shared" si="2"/>
        <v>130592494.70245059</v>
      </c>
      <c r="R66" s="12">
        <f t="shared" si="3"/>
        <v>462515.08540451253</v>
      </c>
      <c r="S66" s="12">
        <f t="shared" si="4"/>
        <v>130129979.61704607</v>
      </c>
      <c r="T66" t="b">
        <f t="shared" si="5"/>
        <v>1</v>
      </c>
      <c r="U66" s="12">
        <f t="shared" si="6"/>
        <v>39177748.410735175</v>
      </c>
      <c r="V66" s="12">
        <f>IF($T66=TRUE, $Q66*$C$8, $K66)</f>
        <v>19588874.205367588</v>
      </c>
      <c r="W66" s="12">
        <f>IF($T66=TRUE, $Q66*$C$9, $L66)</f>
        <v>6529624.7351225298</v>
      </c>
      <c r="X66" s="12">
        <f>IF($T66=TRUE, $Q66*$C$10, $M66)</f>
        <v>26118498.940490119</v>
      </c>
      <c r="Y66" s="12">
        <f>IF($T66=TRUE, $Q66*$C$11, $N66)</f>
        <v>13059249.47024506</v>
      </c>
      <c r="Z66" s="12">
        <f>IF($T66=TRUE, $Q66*$C$12, $O66)</f>
        <v>13059249.47024506</v>
      </c>
      <c r="AA66" s="12">
        <f>IF($T66=TRUE, $Q66*$C$13, $P66)</f>
        <v>13059249.47024506</v>
      </c>
      <c r="AB66" s="12">
        <f>U66-(1-$B$3)</f>
        <v>39177747.414276838</v>
      </c>
      <c r="AC66" s="12">
        <f t="shared" si="13"/>
        <v>19519496.94255691</v>
      </c>
      <c r="AD66" s="12">
        <f t="shared" si="13"/>
        <v>6506498.980852304</v>
      </c>
      <c r="AE66" s="12">
        <f t="shared" si="13"/>
        <v>26025995.923409216</v>
      </c>
      <c r="AF66" s="12">
        <f t="shared" si="12"/>
        <v>13012997.961704608</v>
      </c>
      <c r="AG66" s="12">
        <f t="shared" si="12"/>
        <v>13012997.961704608</v>
      </c>
      <c r="AH66" s="12">
        <f t="shared" si="12"/>
        <v>13012997.961704608</v>
      </c>
      <c r="AI66" s="12">
        <f t="shared" si="8"/>
        <v>130268733.14620911</v>
      </c>
    </row>
    <row r="67" spans="1:35" x14ac:dyDescent="0.2">
      <c r="A67" s="1">
        <f>Returns!A54</f>
        <v>44012</v>
      </c>
      <c r="B67" s="20">
        <f t="shared" si="9"/>
        <v>130129979.61704607</v>
      </c>
      <c r="C67" s="18">
        <f t="shared" si="10"/>
        <v>0.36801934385340584</v>
      </c>
      <c r="D67" s="18">
        <f t="shared" si="11"/>
        <v>0.13745306803063997</v>
      </c>
      <c r="E67" s="18">
        <f t="shared" si="11"/>
        <v>4.7993940974083535E-2</v>
      </c>
      <c r="F67" s="18">
        <f t="shared" si="11"/>
        <v>0.1802525053479441</v>
      </c>
      <c r="G67" s="18">
        <f t="shared" si="11"/>
        <v>9.7601349624096806E-2</v>
      </c>
      <c r="H67" s="18">
        <f t="shared" si="11"/>
        <v>8.4129565929789887E-2</v>
      </c>
      <c r="I67" s="18">
        <f t="shared" si="11"/>
        <v>8.4550226240039716E-2</v>
      </c>
      <c r="J67" s="12">
        <f>J66*(1+Returns!B54)</f>
        <v>48912858.841515198</v>
      </c>
      <c r="K67" s="12">
        <f>K66*(1+Returns!C54)</f>
        <v>18268666.107382547</v>
      </c>
      <c r="L67" s="12">
        <f>L66*(1+Returns!D54)</f>
        <v>6378797.4717123965</v>
      </c>
      <c r="M67" s="12">
        <f>M66*(1+Returns!E54)</f>
        <v>23957070.456126403</v>
      </c>
      <c r="N67" s="12">
        <f>N66*(1+Returns!F54)</f>
        <v>12972038.3361328</v>
      </c>
      <c r="O67" s="12">
        <f>O66*(1+Returns!G54)</f>
        <v>11181525.241675625</v>
      </c>
      <c r="P67" s="12">
        <f>P66*(1+Returns!H54)</f>
        <v>11237434.526660586</v>
      </c>
      <c r="Q67" s="12">
        <f t="shared" si="2"/>
        <v>132908390.98120557</v>
      </c>
      <c r="R67" s="12">
        <f t="shared" si="3"/>
        <v>470717.21805843641</v>
      </c>
      <c r="S67" s="12">
        <f t="shared" si="4"/>
        <v>132437673.76314713</v>
      </c>
      <c r="T67" t="b">
        <f t="shared" si="5"/>
        <v>1</v>
      </c>
      <c r="U67" s="12">
        <f t="shared" si="6"/>
        <v>39872517.294361666</v>
      </c>
      <c r="V67" s="12">
        <f>IF($T67=TRUE, $Q67*$C$8, $K67)</f>
        <v>19936258.647180833</v>
      </c>
      <c r="W67" s="12">
        <f>IF($T67=TRUE, $Q67*$C$9, $L67)</f>
        <v>6645419.5490602786</v>
      </c>
      <c r="X67" s="12">
        <f>IF($T67=TRUE, $Q67*$C$10, $M67)</f>
        <v>26581678.196241114</v>
      </c>
      <c r="Y67" s="12">
        <f>IF($T67=TRUE, $Q67*$C$11, $N67)</f>
        <v>13290839.098120557</v>
      </c>
      <c r="Z67" s="12">
        <f>IF($T67=TRUE, $Q67*$C$12, $O67)</f>
        <v>13290839.098120557</v>
      </c>
      <c r="AA67" s="12">
        <f>IF($T67=TRUE, $Q67*$C$13, $P67)</f>
        <v>13290839.098120557</v>
      </c>
      <c r="AB67" s="12">
        <f>U67-(1-$B$3)</f>
        <v>39872516.297903329</v>
      </c>
      <c r="AC67" s="12">
        <f t="shared" si="13"/>
        <v>19865651.064472068</v>
      </c>
      <c r="AD67" s="12">
        <f t="shared" si="13"/>
        <v>6621883.6881573563</v>
      </c>
      <c r="AE67" s="12">
        <f t="shared" si="13"/>
        <v>26487534.752629425</v>
      </c>
      <c r="AF67" s="12">
        <f t="shared" si="12"/>
        <v>13243767.376314713</v>
      </c>
      <c r="AG67" s="12">
        <f t="shared" si="12"/>
        <v>13243767.376314713</v>
      </c>
      <c r="AH67" s="12">
        <f t="shared" si="12"/>
        <v>13243767.376314713</v>
      </c>
      <c r="AI67" s="12">
        <f t="shared" si="8"/>
        <v>132578887.93210632</v>
      </c>
    </row>
    <row r="68" spans="1:35" x14ac:dyDescent="0.2">
      <c r="A68" s="1">
        <f>Returns!A55</f>
        <v>44043</v>
      </c>
      <c r="B68" s="20">
        <f t="shared" si="9"/>
        <v>132437673.76314713</v>
      </c>
      <c r="C68" s="18">
        <f t="shared" si="10"/>
        <v>0.37549702422083342</v>
      </c>
      <c r="D68" s="18">
        <f t="shared" si="11"/>
        <v>0.1350039462412411</v>
      </c>
      <c r="E68" s="18">
        <f t="shared" si="11"/>
        <v>5.0062902495036539E-2</v>
      </c>
      <c r="F68" s="18">
        <f t="shared" si="11"/>
        <v>0.17517496957208861</v>
      </c>
      <c r="G68" s="18">
        <f t="shared" si="11"/>
        <v>9.6963890376026401E-2</v>
      </c>
      <c r="H68" s="18">
        <f t="shared" si="11"/>
        <v>8.40151043918234E-2</v>
      </c>
      <c r="I68" s="18">
        <f t="shared" si="11"/>
        <v>8.3282162702950649E-2</v>
      </c>
      <c r="J68" s="12">
        <f>J67*(1+Returns!B55)</f>
        <v>51792084.253439777</v>
      </c>
      <c r="K68" s="12">
        <f>K67*(1+Returns!C55)</f>
        <v>18621015.100671135</v>
      </c>
      <c r="L68" s="12">
        <f>L67*(1+Returns!D55)</f>
        <v>6905146.7701373463</v>
      </c>
      <c r="M68" s="12">
        <f>M67*(1+Returns!E55)</f>
        <v>24161780.781079199</v>
      </c>
      <c r="N68" s="12">
        <f>N67*(1+Returns!F55)</f>
        <v>13374172.51259758</v>
      </c>
      <c r="O68" s="12">
        <f>O67*(1+Returns!G55)</f>
        <v>11588154.058615932</v>
      </c>
      <c r="P68" s="12">
        <f>P67*(1+Returns!H55)</f>
        <v>11487059.841473399</v>
      </c>
      <c r="Q68" s="12">
        <f t="shared" si="2"/>
        <v>137929413.31801435</v>
      </c>
      <c r="R68" s="12">
        <f t="shared" si="3"/>
        <v>488500.00550130085</v>
      </c>
      <c r="S68" s="12">
        <f t="shared" si="4"/>
        <v>137440913.31251305</v>
      </c>
      <c r="T68" t="b">
        <f t="shared" si="5"/>
        <v>1</v>
      </c>
      <c r="U68" s="12">
        <f t="shared" si="6"/>
        <v>41378823.995404303</v>
      </c>
      <c r="V68" s="12">
        <f>IF($T68=TRUE, $Q68*$C$8, $K68)</f>
        <v>20689411.997702152</v>
      </c>
      <c r="W68" s="12">
        <f>IF($T68=TRUE, $Q68*$C$9, $L68)</f>
        <v>6896470.6659007184</v>
      </c>
      <c r="X68" s="12">
        <f>IF($T68=TRUE, $Q68*$C$10, $M68)</f>
        <v>27585882.663602874</v>
      </c>
      <c r="Y68" s="12">
        <f>IF($T68=TRUE, $Q68*$C$11, $N68)</f>
        <v>13792941.331801437</v>
      </c>
      <c r="Z68" s="12">
        <f>IF($T68=TRUE, $Q68*$C$12, $O68)</f>
        <v>13792941.331801437</v>
      </c>
      <c r="AA68" s="12">
        <f>IF($T68=TRUE, $Q68*$C$13, $P68)</f>
        <v>13792941.331801437</v>
      </c>
      <c r="AB68" s="12">
        <f>U68-(1-$B$3)</f>
        <v>41378822.998945966</v>
      </c>
      <c r="AC68" s="12">
        <f t="shared" si="13"/>
        <v>20616136.996876955</v>
      </c>
      <c r="AD68" s="12">
        <f t="shared" si="13"/>
        <v>6872045.6656256532</v>
      </c>
      <c r="AE68" s="12">
        <f t="shared" si="13"/>
        <v>27488182.662502613</v>
      </c>
      <c r="AF68" s="12">
        <f t="shared" si="12"/>
        <v>13744091.331251306</v>
      </c>
      <c r="AG68" s="12">
        <f t="shared" si="12"/>
        <v>13744091.331251306</v>
      </c>
      <c r="AH68" s="12">
        <f t="shared" si="12"/>
        <v>13744091.331251306</v>
      </c>
      <c r="AI68" s="12">
        <f t="shared" si="8"/>
        <v>137587462.31770509</v>
      </c>
    </row>
    <row r="69" spans="1:35" x14ac:dyDescent="0.2">
      <c r="A69" s="1">
        <f>Returns!A56</f>
        <v>44074</v>
      </c>
      <c r="B69" s="20">
        <f t="shared" si="9"/>
        <v>137440913.31251305</v>
      </c>
      <c r="C69" s="18">
        <f t="shared" si="10"/>
        <v>0.38915326952261819</v>
      </c>
      <c r="D69" s="18">
        <f t="shared" si="11"/>
        <v>0.13696850809710903</v>
      </c>
      <c r="E69" s="18">
        <f t="shared" si="11"/>
        <v>4.9897702322684305E-2</v>
      </c>
      <c r="F69" s="18">
        <f t="shared" si="11"/>
        <v>0.16804941851872521</v>
      </c>
      <c r="G69" s="18">
        <f t="shared" si="11"/>
        <v>9.2272931973127831E-2</v>
      </c>
      <c r="H69" s="18">
        <f t="shared" si="11"/>
        <v>8.1743257546901635E-2</v>
      </c>
      <c r="I69" s="18">
        <f t="shared" si="11"/>
        <v>8.1914912018833747E-2</v>
      </c>
      <c r="J69" s="12">
        <f>J68*(1+Returns!B56)</f>
        <v>55408527.263461858</v>
      </c>
      <c r="K69" s="12">
        <f>K68*(1+Returns!C56)</f>
        <v>19501887.58389261</v>
      </c>
      <c r="L69" s="12">
        <f>L68*(1+Returns!D56)</f>
        <v>7104548.3002677569</v>
      </c>
      <c r="M69" s="12">
        <f>M68*(1+Returns!E56)</f>
        <v>23927258.272880848</v>
      </c>
      <c r="N69" s="12">
        <f>N68*(1+Returns!F56)</f>
        <v>13138029.838948729</v>
      </c>
      <c r="O69" s="12">
        <f>O68*(1+Returns!G56)</f>
        <v>11638790.854687743</v>
      </c>
      <c r="P69" s="12">
        <f>P68*(1+Returns!H56)</f>
        <v>11663231.408661794</v>
      </c>
      <c r="Q69" s="12">
        <f t="shared" si="2"/>
        <v>142382273.52280134</v>
      </c>
      <c r="R69" s="12">
        <f t="shared" si="3"/>
        <v>504270.55205992144</v>
      </c>
      <c r="S69" s="12">
        <f t="shared" si="4"/>
        <v>141878002.97074142</v>
      </c>
      <c r="T69" t="b">
        <f t="shared" si="5"/>
        <v>1</v>
      </c>
      <c r="U69" s="12">
        <f t="shared" si="6"/>
        <v>42714682.056840397</v>
      </c>
      <c r="V69" s="12">
        <f>IF($T69=TRUE, $Q69*$C$8, $K69)</f>
        <v>21357341.028420199</v>
      </c>
      <c r="W69" s="12">
        <f>IF($T69=TRUE, $Q69*$C$9, $L69)</f>
        <v>7119113.6761400672</v>
      </c>
      <c r="X69" s="12">
        <f>IF($T69=TRUE, $Q69*$C$10, $M69)</f>
        <v>28476454.704560269</v>
      </c>
      <c r="Y69" s="12">
        <f>IF($T69=TRUE, $Q69*$C$11, $N69)</f>
        <v>14238227.352280134</v>
      </c>
      <c r="Z69" s="12">
        <f>IF($T69=TRUE, $Q69*$C$12, $O69)</f>
        <v>14238227.352280134</v>
      </c>
      <c r="AA69" s="12">
        <f>IF($T69=TRUE, $Q69*$C$13, $P69)</f>
        <v>14238227.352280134</v>
      </c>
      <c r="AB69" s="12">
        <f>U69-(1-$B$3)</f>
        <v>42714681.060382061</v>
      </c>
      <c r="AC69" s="12">
        <f t="shared" si="13"/>
        <v>21281700.445611209</v>
      </c>
      <c r="AD69" s="12">
        <f t="shared" si="13"/>
        <v>7093900.1485370714</v>
      </c>
      <c r="AE69" s="12">
        <f t="shared" si="13"/>
        <v>28375600.594148286</v>
      </c>
      <c r="AF69" s="12">
        <f t="shared" si="12"/>
        <v>14187800.297074143</v>
      </c>
      <c r="AG69" s="12">
        <f t="shared" si="12"/>
        <v>14187800.297074143</v>
      </c>
      <c r="AH69" s="12">
        <f t="shared" si="12"/>
        <v>14187800.297074143</v>
      </c>
      <c r="AI69" s="12">
        <f t="shared" si="8"/>
        <v>142029283.13990104</v>
      </c>
    </row>
    <row r="70" spans="1:35" x14ac:dyDescent="0.2">
      <c r="A70" s="1">
        <f>Returns!A57</f>
        <v>44104</v>
      </c>
      <c r="B70" s="20">
        <f t="shared" si="9"/>
        <v>141878002.97074142</v>
      </c>
      <c r="C70" s="18">
        <f t="shared" si="10"/>
        <v>0.38325344384768362</v>
      </c>
      <c r="D70" s="18">
        <f t="shared" si="11"/>
        <v>0.13726660483578229</v>
      </c>
      <c r="E70" s="18">
        <f t="shared" si="11"/>
        <v>5.0536508909592777E-2</v>
      </c>
      <c r="F70" s="18">
        <f t="shared" si="11"/>
        <v>0.17238041018601066</v>
      </c>
      <c r="G70" s="18">
        <f t="shared" si="11"/>
        <v>9.3783110323140642E-2</v>
      </c>
      <c r="H70" s="18">
        <f t="shared" si="11"/>
        <v>8.1418310049278325E-2</v>
      </c>
      <c r="I70" s="18">
        <f t="shared" si="11"/>
        <v>8.1361611848511706E-2</v>
      </c>
      <c r="J70" s="12">
        <f>J69*(1+Returns!B57)</f>
        <v>53334465.772040084</v>
      </c>
      <c r="K70" s="12">
        <f>K69*(1+Returns!C57)</f>
        <v>19102348.993288584</v>
      </c>
      <c r="L70" s="12">
        <f>L69*(1+Returns!D57)</f>
        <v>7032781.4347006427</v>
      </c>
      <c r="M70" s="12">
        <f>M69*(1+Returns!E57)</f>
        <v>23988870.118254993</v>
      </c>
      <c r="N70" s="12">
        <f>N69*(1+Returns!F57)</f>
        <v>13051081.908902291</v>
      </c>
      <c r="O70" s="12">
        <f>O69*(1+Returns!G57)</f>
        <v>11330366.733159434</v>
      </c>
      <c r="P70" s="12">
        <f>P69*(1+Returns!H57)</f>
        <v>11322476.475950617</v>
      </c>
      <c r="Q70" s="12">
        <f t="shared" si="2"/>
        <v>139162391.43629664</v>
      </c>
      <c r="R70" s="12">
        <f t="shared" si="3"/>
        <v>492866.80300355062</v>
      </c>
      <c r="S70" s="12">
        <f t="shared" si="4"/>
        <v>138669524.63329309</v>
      </c>
      <c r="T70" t="b">
        <f t="shared" si="5"/>
        <v>1</v>
      </c>
      <c r="U70" s="12">
        <f t="shared" si="6"/>
        <v>41748717.430888988</v>
      </c>
      <c r="V70" s="12">
        <f>IF($T70=TRUE, $Q70*$C$8, $K70)</f>
        <v>20874358.715444494</v>
      </c>
      <c r="W70" s="12">
        <f>IF($T70=TRUE, $Q70*$C$9, $L70)</f>
        <v>6958119.5718148323</v>
      </c>
      <c r="X70" s="12">
        <f>IF($T70=TRUE, $Q70*$C$10, $M70)</f>
        <v>27832478.287259329</v>
      </c>
      <c r="Y70" s="12">
        <f>IF($T70=TRUE, $Q70*$C$11, $N70)</f>
        <v>13916239.143629665</v>
      </c>
      <c r="Z70" s="12">
        <f>IF($T70=TRUE, $Q70*$C$12, $O70)</f>
        <v>13916239.143629665</v>
      </c>
      <c r="AA70" s="12">
        <f>IF($T70=TRUE, $Q70*$C$13, $P70)</f>
        <v>13916239.143629665</v>
      </c>
      <c r="AB70" s="12">
        <f>U70-(1-$B$3)</f>
        <v>41748716.434430651</v>
      </c>
      <c r="AC70" s="12">
        <f t="shared" si="13"/>
        <v>20800428.694993962</v>
      </c>
      <c r="AD70" s="12">
        <f t="shared" si="13"/>
        <v>6933476.2316646548</v>
      </c>
      <c r="AE70" s="12">
        <f t="shared" si="13"/>
        <v>27733904.926658619</v>
      </c>
      <c r="AF70" s="12">
        <f t="shared" si="12"/>
        <v>13866952.46332931</v>
      </c>
      <c r="AG70" s="12">
        <f t="shared" si="12"/>
        <v>13866952.46332931</v>
      </c>
      <c r="AH70" s="12">
        <f t="shared" si="12"/>
        <v>13866952.46332931</v>
      </c>
      <c r="AI70" s="12">
        <f t="shared" si="8"/>
        <v>138817383.67773584</v>
      </c>
    </row>
    <row r="71" spans="1:35" x14ac:dyDescent="0.2">
      <c r="A71" s="1">
        <f>Returns!A58</f>
        <v>44135</v>
      </c>
      <c r="B71" s="20">
        <f t="shared" si="9"/>
        <v>138669524.63329309</v>
      </c>
      <c r="C71" s="18">
        <f t="shared" si="10"/>
        <v>0.38131215036507093</v>
      </c>
      <c r="D71" s="18">
        <f t="shared" si="11"/>
        <v>0.13510476068222613</v>
      </c>
      <c r="E71" s="18">
        <f t="shared" si="11"/>
        <v>5.229227037228653E-2</v>
      </c>
      <c r="F71" s="18">
        <f t="shared" si="11"/>
        <v>0.17347458505121446</v>
      </c>
      <c r="G71" s="18">
        <f t="shared" si="11"/>
        <v>9.5201854110442005E-2</v>
      </c>
      <c r="H71" s="18">
        <f t="shared" si="11"/>
        <v>8.05799533897813E-2</v>
      </c>
      <c r="I71" s="18">
        <f t="shared" si="11"/>
        <v>8.2034426028978508E-2</v>
      </c>
      <c r="J71" s="12">
        <f>J70*(1+Returns!B58)</f>
        <v>52004416.510956332</v>
      </c>
      <c r="K71" s="12">
        <f>K70*(1+Returns!C58)</f>
        <v>18425964.765100665</v>
      </c>
      <c r="L71" s="12">
        <f>L70*(1+Returns!D58)</f>
        <v>7131765.9459325643</v>
      </c>
      <c r="M71" s="12">
        <f>M70*(1+Returns!E58)</f>
        <v>23658948.623670872</v>
      </c>
      <c r="N71" s="12">
        <f>N70*(1+Returns!F58)</f>
        <v>12983894.872048225</v>
      </c>
      <c r="O71" s="12">
        <f>O70*(1+Returns!G58)</f>
        <v>10989719.195949061</v>
      </c>
      <c r="P71" s="12">
        <f>P70*(1+Returns!H58)</f>
        <v>11188084.23850064</v>
      </c>
      <c r="Q71" s="12">
        <f t="shared" si="2"/>
        <v>136382794.15215838</v>
      </c>
      <c r="R71" s="12">
        <f t="shared" si="3"/>
        <v>483022.39595556096</v>
      </c>
      <c r="S71" s="12">
        <f t="shared" si="4"/>
        <v>135899771.75620282</v>
      </c>
      <c r="T71" t="b">
        <f t="shared" si="5"/>
        <v>1</v>
      </c>
      <c r="U71" s="12">
        <f t="shared" si="6"/>
        <v>40914838.245647512</v>
      </c>
      <c r="V71" s="12">
        <f>IF($T71=TRUE, $Q71*$C$8, $K71)</f>
        <v>20457419.122823756</v>
      </c>
      <c r="W71" s="12">
        <f>IF($T71=TRUE, $Q71*$C$9, $L71)</f>
        <v>6819139.7076079194</v>
      </c>
      <c r="X71" s="12">
        <f>IF($T71=TRUE, $Q71*$C$10, $M71)</f>
        <v>27276558.830431677</v>
      </c>
      <c r="Y71" s="12">
        <f>IF($T71=TRUE, $Q71*$C$11, $N71)</f>
        <v>13638279.415215839</v>
      </c>
      <c r="Z71" s="12">
        <f>IF($T71=TRUE, $Q71*$C$12, $O71)</f>
        <v>13638279.415215839</v>
      </c>
      <c r="AA71" s="12">
        <f>IF($T71=TRUE, $Q71*$C$13, $P71)</f>
        <v>13638279.415215839</v>
      </c>
      <c r="AB71" s="12">
        <f>U71-(1-$B$3)</f>
        <v>40914837.249189176</v>
      </c>
      <c r="AC71" s="12">
        <f t="shared" si="13"/>
        <v>20384965.76343042</v>
      </c>
      <c r="AD71" s="12">
        <f t="shared" si="13"/>
        <v>6794988.587810141</v>
      </c>
      <c r="AE71" s="12">
        <f t="shared" si="13"/>
        <v>27179954.351240564</v>
      </c>
      <c r="AF71" s="12">
        <f t="shared" si="12"/>
        <v>13589977.175620282</v>
      </c>
      <c r="AG71" s="12">
        <f t="shared" si="12"/>
        <v>13589977.175620282</v>
      </c>
      <c r="AH71" s="12">
        <f t="shared" si="12"/>
        <v>13589977.175620282</v>
      </c>
      <c r="AI71" s="12">
        <f t="shared" si="8"/>
        <v>136044677.47853115</v>
      </c>
    </row>
    <row r="72" spans="1:35" x14ac:dyDescent="0.2">
      <c r="A72" s="1">
        <f>Returns!A59</f>
        <v>44165</v>
      </c>
      <c r="B72" s="20">
        <f t="shared" si="9"/>
        <v>135899771.75620282</v>
      </c>
      <c r="C72" s="18">
        <f t="shared" si="10"/>
        <v>0.38872854502068765</v>
      </c>
      <c r="D72" s="18">
        <f t="shared" si="11"/>
        <v>0.14193463801005518</v>
      </c>
      <c r="E72" s="18">
        <f t="shared" si="11"/>
        <v>5.2402883186371013E-2</v>
      </c>
      <c r="F72" s="18">
        <f t="shared" si="11"/>
        <v>0.15994665672569461</v>
      </c>
      <c r="G72" s="18">
        <f t="shared" si="11"/>
        <v>9.0645933454716679E-2</v>
      </c>
      <c r="H72" s="18">
        <f t="shared" si="11"/>
        <v>8.1259831650330488E-2</v>
      </c>
      <c r="I72" s="18">
        <f t="shared" si="11"/>
        <v>8.508151195214439E-2</v>
      </c>
      <c r="J72" s="12">
        <f>J71*(1+Returns!B59)</f>
        <v>57659249.193137415</v>
      </c>
      <c r="K72" s="12">
        <f>K71*(1+Returns!C59)</f>
        <v>21052852.348993283</v>
      </c>
      <c r="L72" s="12">
        <f>L71*(1+Returns!D59)</f>
        <v>7772804.2840821883</v>
      </c>
      <c r="M72" s="12">
        <f>M71*(1+Returns!E59)</f>
        <v>23724535.426811088</v>
      </c>
      <c r="N72" s="12">
        <f>N71*(1+Returns!F59)</f>
        <v>13445311.72809012</v>
      </c>
      <c r="O72" s="12">
        <f>O71*(1+Returns!G59)</f>
        <v>12053091.913457114</v>
      </c>
      <c r="P72" s="12">
        <f>P71*(1+Returns!H59)</f>
        <v>12619953.338174626</v>
      </c>
      <c r="Q72" s="12">
        <f t="shared" si="2"/>
        <v>148327798.23274583</v>
      </c>
      <c r="R72" s="12">
        <f t="shared" si="3"/>
        <v>525327.61874097481</v>
      </c>
      <c r="S72" s="12">
        <f t="shared" si="4"/>
        <v>147802470.61400485</v>
      </c>
      <c r="T72" t="b">
        <f t="shared" si="5"/>
        <v>1</v>
      </c>
      <c r="U72" s="12">
        <f t="shared" si="6"/>
        <v>44498339.469823748</v>
      </c>
      <c r="V72" s="12">
        <f>IF($T72=TRUE, $Q72*$C$8, $K72)</f>
        <v>22249169.734911874</v>
      </c>
      <c r="W72" s="12">
        <f>IF($T72=TRUE, $Q72*$C$9, $L72)</f>
        <v>7416389.9116372913</v>
      </c>
      <c r="X72" s="12">
        <f>IF($T72=TRUE, $Q72*$C$10, $M72)</f>
        <v>29665559.646549165</v>
      </c>
      <c r="Y72" s="12">
        <f>IF($T72=TRUE, $Q72*$C$11, $N72)</f>
        <v>14832779.823274583</v>
      </c>
      <c r="Z72" s="12">
        <f>IF($T72=TRUE, $Q72*$C$12, $O72)</f>
        <v>14832779.823274583</v>
      </c>
      <c r="AA72" s="12">
        <f>IF($T72=TRUE, $Q72*$C$13, $P72)</f>
        <v>14832779.823274583</v>
      </c>
      <c r="AB72" s="12">
        <f>U72-(1-$B$3)</f>
        <v>44498338.473365411</v>
      </c>
      <c r="AC72" s="12">
        <f t="shared" si="13"/>
        <v>22170370.592100728</v>
      </c>
      <c r="AD72" s="12">
        <f t="shared" si="13"/>
        <v>7390123.5307002421</v>
      </c>
      <c r="AE72" s="12">
        <f t="shared" si="13"/>
        <v>29560494.122800969</v>
      </c>
      <c r="AF72" s="12">
        <f t="shared" si="12"/>
        <v>14780247.061400484</v>
      </c>
      <c r="AG72" s="12">
        <f t="shared" si="12"/>
        <v>14780247.061400484</v>
      </c>
      <c r="AH72" s="12">
        <f t="shared" si="12"/>
        <v>14780247.061400484</v>
      </c>
      <c r="AI72" s="12">
        <f t="shared" si="8"/>
        <v>147960067.9031688</v>
      </c>
    </row>
    <row r="73" spans="1:35" x14ac:dyDescent="0.2">
      <c r="A73" s="1">
        <f>Returns!A60</f>
        <v>44196</v>
      </c>
      <c r="B73" s="20">
        <f t="shared" si="9"/>
        <v>147802470.61400485</v>
      </c>
      <c r="C73" s="18">
        <f t="shared" si="10"/>
        <v>0.391576985384955</v>
      </c>
      <c r="D73" s="18">
        <f t="shared" si="11"/>
        <v>0.14478735050587524</v>
      </c>
      <c r="E73" s="18">
        <f t="shared" si="11"/>
        <v>5.4531170909373865E-2</v>
      </c>
      <c r="F73" s="18">
        <f t="shared" si="11"/>
        <v>0.15487928682242411</v>
      </c>
      <c r="G73" s="18">
        <f t="shared" si="11"/>
        <v>8.8001742491742529E-2</v>
      </c>
      <c r="H73" s="18">
        <f t="shared" si="11"/>
        <v>8.1090442351696976E-2</v>
      </c>
      <c r="I73" s="18">
        <f t="shared" si="11"/>
        <v>8.5133021533932332E-2</v>
      </c>
      <c r="J73" s="12">
        <f>J72*(1+Returns!B60)</f>
        <v>59796161.032784089</v>
      </c>
      <c r="K73" s="12">
        <f>K72*(1+Returns!C60)</f>
        <v>22109899.328859054</v>
      </c>
      <c r="L73" s="12">
        <f>L72*(1+Returns!D60)</f>
        <v>8327237.8068838213</v>
      </c>
      <c r="M73" s="12">
        <f>M72*(1+Returns!E60)</f>
        <v>23650998.708138723</v>
      </c>
      <c r="N73" s="12">
        <f>N72*(1+Returns!F60)</f>
        <v>13438395.415472789</v>
      </c>
      <c r="O73" s="12">
        <f>O72*(1+Returns!G60)</f>
        <v>12382998.312106801</v>
      </c>
      <c r="P73" s="12">
        <f>P72*(1+Returns!H60)</f>
        <v>13000324.469646635</v>
      </c>
      <c r="Q73" s="12">
        <f t="shared" si="2"/>
        <v>152706015.07389191</v>
      </c>
      <c r="R73" s="12">
        <f t="shared" si="3"/>
        <v>540833.80338670057</v>
      </c>
      <c r="S73" s="12">
        <f t="shared" si="4"/>
        <v>152165181.27050522</v>
      </c>
      <c r="T73" t="b">
        <f t="shared" si="5"/>
        <v>1</v>
      </c>
      <c r="U73" s="12">
        <f t="shared" si="6"/>
        <v>45811804.522167571</v>
      </c>
      <c r="V73" s="12">
        <f>IF($T73=TRUE, $Q73*$C$8, $K73)</f>
        <v>22905902.261083785</v>
      </c>
      <c r="W73" s="12">
        <f>IF($T73=TRUE, $Q73*$C$9, $L73)</f>
        <v>7635300.7536945958</v>
      </c>
      <c r="X73" s="12">
        <f>IF($T73=TRUE, $Q73*$C$10, $M73)</f>
        <v>30541203.014778383</v>
      </c>
      <c r="Y73" s="12">
        <f>IF($T73=TRUE, $Q73*$C$11, $N73)</f>
        <v>15270601.507389192</v>
      </c>
      <c r="Z73" s="12">
        <f>IF($T73=TRUE, $Q73*$C$12, $O73)</f>
        <v>15270601.507389192</v>
      </c>
      <c r="AA73" s="12">
        <f>IF($T73=TRUE, $Q73*$C$13, $P73)</f>
        <v>15270601.507389192</v>
      </c>
      <c r="AB73" s="12">
        <f>U73-(1-$B$3)</f>
        <v>45811803.525709234</v>
      </c>
      <c r="AC73" s="12">
        <f t="shared" si="13"/>
        <v>22824777.190575782</v>
      </c>
      <c r="AD73" s="12">
        <f t="shared" si="13"/>
        <v>7608259.0635252604</v>
      </c>
      <c r="AE73" s="12">
        <f t="shared" si="13"/>
        <v>30433036.254101042</v>
      </c>
      <c r="AF73" s="12">
        <f t="shared" si="12"/>
        <v>15216518.127050521</v>
      </c>
      <c r="AG73" s="12">
        <f t="shared" si="12"/>
        <v>15216518.127050521</v>
      </c>
      <c r="AH73" s="12">
        <f t="shared" si="12"/>
        <v>15216518.127050521</v>
      </c>
      <c r="AI73" s="12">
        <f t="shared" si="8"/>
        <v>152327430.41506287</v>
      </c>
    </row>
    <row r="74" spans="1:35" x14ac:dyDescent="0.2">
      <c r="A74" s="1">
        <f>Returns!A61</f>
        <v>44227</v>
      </c>
      <c r="B74" s="20">
        <f t="shared" si="9"/>
        <v>152165181.27050522</v>
      </c>
      <c r="C74" s="18">
        <f t="shared" si="10"/>
        <v>0.39101036959605195</v>
      </c>
      <c r="D74" s="18">
        <f t="shared" si="11"/>
        <v>0.14492437878682221</v>
      </c>
      <c r="E74" s="18">
        <f t="shared" si="11"/>
        <v>5.6759310411482529E-2</v>
      </c>
      <c r="F74" s="18">
        <f t="shared" si="11"/>
        <v>0.15454172507198705</v>
      </c>
      <c r="G74" s="18">
        <f t="shared" si="11"/>
        <v>8.7160997953313252E-2</v>
      </c>
      <c r="H74" s="18">
        <f t="shared" si="11"/>
        <v>8.1837810449680776E-2</v>
      </c>
      <c r="I74" s="18">
        <f t="shared" si="11"/>
        <v>8.3765407730662211E-2</v>
      </c>
      <c r="J74" s="12">
        <f>J73*(1+Returns!B61)</f>
        <v>59186342.789196528</v>
      </c>
      <c r="K74" s="12">
        <f>K73*(1+Returns!C61)</f>
        <v>21936870.80536912</v>
      </c>
      <c r="L74" s="12">
        <f>L73*(1+Returns!D61)</f>
        <v>8591526.6287258491</v>
      </c>
      <c r="M74" s="12">
        <f>M73*(1+Returns!E61)</f>
        <v>23392626.453343932</v>
      </c>
      <c r="N74" s="12">
        <f>N73*(1+Returns!F61)</f>
        <v>13193360.339887373</v>
      </c>
      <c r="O74" s="12">
        <f>O73*(1+Returns!G61)</f>
        <v>12387601.657204241</v>
      </c>
      <c r="P74" s="12">
        <f>P73*(1+Returns!H61)</f>
        <v>12679377.636315877</v>
      </c>
      <c r="Q74" s="12">
        <f t="shared" si="2"/>
        <v>151367706.31004292</v>
      </c>
      <c r="R74" s="12">
        <f t="shared" si="3"/>
        <v>536093.95984806865</v>
      </c>
      <c r="S74" s="12">
        <f t="shared" si="4"/>
        <v>150831612.35019484</v>
      </c>
      <c r="T74" t="b">
        <f t="shared" si="5"/>
        <v>1</v>
      </c>
      <c r="U74" s="12">
        <f t="shared" si="6"/>
        <v>45410311.893012874</v>
      </c>
      <c r="V74" s="12">
        <f>IF($T74=TRUE, $Q74*$C$8, $K74)</f>
        <v>22705155.946506437</v>
      </c>
      <c r="W74" s="12">
        <f>IF($T74=TRUE, $Q74*$C$9, $L74)</f>
        <v>7568385.3155021463</v>
      </c>
      <c r="X74" s="12">
        <f>IF($T74=TRUE, $Q74*$C$10, $M74)</f>
        <v>30273541.262008585</v>
      </c>
      <c r="Y74" s="12">
        <f>IF($T74=TRUE, $Q74*$C$11, $N74)</f>
        <v>15136770.631004293</v>
      </c>
      <c r="Z74" s="12">
        <f>IF($T74=TRUE, $Q74*$C$12, $O74)</f>
        <v>15136770.631004293</v>
      </c>
      <c r="AA74" s="12">
        <f>IF($T74=TRUE, $Q74*$C$13, $P74)</f>
        <v>15136770.631004293</v>
      </c>
      <c r="AB74" s="12">
        <f>U74-(1-$B$3)</f>
        <v>45410310.896554537</v>
      </c>
      <c r="AC74" s="12">
        <f t="shared" si="13"/>
        <v>22624741.852529228</v>
      </c>
      <c r="AD74" s="12">
        <f t="shared" si="13"/>
        <v>7541580.6175097432</v>
      </c>
      <c r="AE74" s="12">
        <f t="shared" si="13"/>
        <v>30166322.470038973</v>
      </c>
      <c r="AF74" s="12">
        <f t="shared" si="12"/>
        <v>15083161.235019486</v>
      </c>
      <c r="AG74" s="12">
        <f t="shared" si="12"/>
        <v>15083161.235019486</v>
      </c>
      <c r="AH74" s="12">
        <f t="shared" si="12"/>
        <v>15083161.235019486</v>
      </c>
      <c r="AI74" s="12">
        <f t="shared" si="8"/>
        <v>150992439.54169092</v>
      </c>
    </row>
    <row r="75" spans="1:35" x14ac:dyDescent="0.2">
      <c r="A75" s="1">
        <f>Returns!A62</f>
        <v>44255</v>
      </c>
      <c r="B75" s="20">
        <f t="shared" si="9"/>
        <v>150831612.35019484</v>
      </c>
      <c r="C75" s="18">
        <f t="shared" si="10"/>
        <v>0.39706594740363343</v>
      </c>
      <c r="D75" s="18">
        <f t="shared" si="11"/>
        <v>0.14638602009338142</v>
      </c>
      <c r="E75" s="18">
        <f t="shared" si="11"/>
        <v>5.6519190364849634E-2</v>
      </c>
      <c r="F75" s="18">
        <f t="shared" si="11"/>
        <v>0.1489614407772317</v>
      </c>
      <c r="G75" s="18">
        <f t="shared" ref="D75:I117" si="14">N75/$Q75</f>
        <v>8.3991809771974568E-2</v>
      </c>
      <c r="H75" s="18">
        <f t="shared" si="14"/>
        <v>8.3618566201459466E-2</v>
      </c>
      <c r="I75" s="18">
        <f t="shared" si="14"/>
        <v>8.3457025387469755E-2</v>
      </c>
      <c r="J75" s="12">
        <f>J74*(1+Returns!B62)</f>
        <v>60834041.107525051</v>
      </c>
      <c r="K75" s="12">
        <f>K74*(1+Returns!C62)</f>
        <v>22427642.617449656</v>
      </c>
      <c r="L75" s="12">
        <f>L74*(1+Returns!D62)</f>
        <v>8659243.5652109347</v>
      </c>
      <c r="M75" s="12">
        <f>M74*(1+Returns!E62)</f>
        <v>22822220.01391235</v>
      </c>
      <c r="N75" s="12">
        <f>N74*(1+Returns!F62)</f>
        <v>12868293.64687285</v>
      </c>
      <c r="O75" s="12">
        <f>O74*(1+Returns!G62)</f>
        <v>12811109.406168487</v>
      </c>
      <c r="P75" s="12">
        <f>P74*(1+Returns!H62)</f>
        <v>12786359.914092796</v>
      </c>
      <c r="Q75" s="12">
        <f t="shared" si="2"/>
        <v>153208910.27123213</v>
      </c>
      <c r="R75" s="12">
        <f t="shared" si="3"/>
        <v>542614.89054394711</v>
      </c>
      <c r="S75" s="12">
        <f t="shared" si="4"/>
        <v>152666295.38068819</v>
      </c>
      <c r="T75" t="b">
        <f t="shared" si="5"/>
        <v>1</v>
      </c>
      <c r="U75" s="12">
        <f t="shared" si="6"/>
        <v>45962673.081369638</v>
      </c>
      <c r="V75" s="12">
        <f>IF($T75=TRUE, $Q75*$C$8, $K75)</f>
        <v>22981336.540684819</v>
      </c>
      <c r="W75" s="12">
        <f>IF($T75=TRUE, $Q75*$C$9, $L75)</f>
        <v>7660445.5135616064</v>
      </c>
      <c r="X75" s="12">
        <f>IF($T75=TRUE, $Q75*$C$10, $M75)</f>
        <v>30641782.054246426</v>
      </c>
      <c r="Y75" s="12">
        <f>IF($T75=TRUE, $Q75*$C$11, $N75)</f>
        <v>15320891.027123213</v>
      </c>
      <c r="Z75" s="12">
        <f>IF($T75=TRUE, $Q75*$C$12, $O75)</f>
        <v>15320891.027123213</v>
      </c>
      <c r="AA75" s="12">
        <f>IF($T75=TRUE, $Q75*$C$13, $P75)</f>
        <v>15320891.027123213</v>
      </c>
      <c r="AB75" s="12">
        <f>U75-(1-$B$3)</f>
        <v>45962672.084911302</v>
      </c>
      <c r="AC75" s="12">
        <f t="shared" si="13"/>
        <v>22899944.307103228</v>
      </c>
      <c r="AD75" s="12">
        <f t="shared" si="13"/>
        <v>7633314.769034409</v>
      </c>
      <c r="AE75" s="12">
        <f t="shared" si="13"/>
        <v>30533259.076137636</v>
      </c>
      <c r="AF75" s="12">
        <f t="shared" si="12"/>
        <v>15266629.538068818</v>
      </c>
      <c r="AG75" s="12">
        <f t="shared" si="12"/>
        <v>15266629.538068818</v>
      </c>
      <c r="AH75" s="12">
        <f t="shared" si="12"/>
        <v>15266629.538068818</v>
      </c>
      <c r="AI75" s="12">
        <f t="shared" si="8"/>
        <v>152829078.85139304</v>
      </c>
    </row>
    <row r="76" spans="1:35" x14ac:dyDescent="0.2">
      <c r="A76" s="1">
        <f>Returns!A63</f>
        <v>44286</v>
      </c>
      <c r="B76" s="20">
        <f t="shared" si="9"/>
        <v>152666295.38068819</v>
      </c>
      <c r="C76" s="18">
        <f t="shared" si="10"/>
        <v>0.40512923209824048</v>
      </c>
      <c r="D76" s="18">
        <f t="shared" si="14"/>
        <v>0.14645929102273691</v>
      </c>
      <c r="E76" s="18">
        <f t="shared" si="14"/>
        <v>5.476089733422157E-2</v>
      </c>
      <c r="F76" s="18">
        <f t="shared" si="14"/>
        <v>0.14182783315103867</v>
      </c>
      <c r="G76" s="18">
        <f t="shared" si="14"/>
        <v>8.0603416253477361E-2</v>
      </c>
      <c r="H76" s="18">
        <f t="shared" si="14"/>
        <v>8.582428052829931E-2</v>
      </c>
      <c r="I76" s="18">
        <f t="shared" si="14"/>
        <v>8.5395049611985629E-2</v>
      </c>
      <c r="J76" s="12">
        <f>J75*(1+Returns!B63)</f>
        <v>63596059.113300487</v>
      </c>
      <c r="K76" s="12">
        <f>K75*(1+Returns!C63)</f>
        <v>22990771.812080525</v>
      </c>
      <c r="L76" s="12">
        <f>L75*(1+Returns!D63)</f>
        <v>8596213.2278819066</v>
      </c>
      <c r="M76" s="12">
        <f>M75*(1+Returns!E63)</f>
        <v>22263738.447778989</v>
      </c>
      <c r="N76" s="12">
        <f>N75*(1+Returns!F63)</f>
        <v>12652899.911075991</v>
      </c>
      <c r="O76" s="12">
        <f>O75*(1+Returns!G63)</f>
        <v>13472456.65183367</v>
      </c>
      <c r="P76" s="12">
        <f>P75*(1+Returns!H63)</f>
        <v>13405077.177423092</v>
      </c>
      <c r="Q76" s="12">
        <f t="shared" si="2"/>
        <v>156977216.34137467</v>
      </c>
      <c r="R76" s="12">
        <f t="shared" si="3"/>
        <v>555960.97454236867</v>
      </c>
      <c r="S76" s="12">
        <f t="shared" si="4"/>
        <v>156421255.36683229</v>
      </c>
      <c r="T76" t="b">
        <f t="shared" si="5"/>
        <v>1</v>
      </c>
      <c r="U76" s="12">
        <f t="shared" si="6"/>
        <v>47093164.9024124</v>
      </c>
      <c r="V76" s="12">
        <f>IF($T76=TRUE, $Q76*$C$8, $K76)</f>
        <v>23546582.4512062</v>
      </c>
      <c r="W76" s="12">
        <f>IF($T76=TRUE, $Q76*$C$9, $L76)</f>
        <v>7848860.8170687333</v>
      </c>
      <c r="X76" s="12">
        <f>IF($T76=TRUE, $Q76*$C$10, $M76)</f>
        <v>31395443.268274933</v>
      </c>
      <c r="Y76" s="12">
        <f>IF($T76=TRUE, $Q76*$C$11, $N76)</f>
        <v>15697721.634137467</v>
      </c>
      <c r="Z76" s="12">
        <f>IF($T76=TRUE, $Q76*$C$12, $O76)</f>
        <v>15697721.634137467</v>
      </c>
      <c r="AA76" s="12">
        <f>IF($T76=TRUE, $Q76*$C$13, $P76)</f>
        <v>15697721.634137467</v>
      </c>
      <c r="AB76" s="12">
        <f>U76-(1-$B$3)</f>
        <v>47093163.905954063</v>
      </c>
      <c r="AC76" s="12">
        <f t="shared" si="13"/>
        <v>23463188.305024844</v>
      </c>
      <c r="AD76" s="12">
        <f t="shared" si="13"/>
        <v>7821062.7683416149</v>
      </c>
      <c r="AE76" s="12">
        <f t="shared" si="13"/>
        <v>31284251.073366459</v>
      </c>
      <c r="AF76" s="12">
        <f t="shared" si="12"/>
        <v>15642125.53668323</v>
      </c>
      <c r="AG76" s="12">
        <f t="shared" si="12"/>
        <v>15642125.53668323</v>
      </c>
      <c r="AH76" s="12">
        <f t="shared" si="12"/>
        <v>15642125.53668323</v>
      </c>
      <c r="AI76" s="12">
        <f t="shared" si="8"/>
        <v>156588042.66273668</v>
      </c>
    </row>
    <row r="77" spans="1:35" x14ac:dyDescent="0.2">
      <c r="A77" s="1">
        <f>Returns!A64</f>
        <v>44316</v>
      </c>
      <c r="B77" s="20">
        <f t="shared" si="9"/>
        <v>156421255.36683229</v>
      </c>
      <c r="C77" s="18">
        <f t="shared" si="10"/>
        <v>0.41078707958795735</v>
      </c>
      <c r="D77" s="18">
        <f t="shared" si="14"/>
        <v>0.14521048983654428</v>
      </c>
      <c r="E77" s="18">
        <f t="shared" si="14"/>
        <v>5.3369333436405965E-2</v>
      </c>
      <c r="F77" s="18">
        <f t="shared" si="14"/>
        <v>0.13795939224287629</v>
      </c>
      <c r="G77" s="18">
        <f t="shared" si="14"/>
        <v>7.842806123068756E-2</v>
      </c>
      <c r="H77" s="18">
        <f t="shared" si="14"/>
        <v>8.9144889140386915E-2</v>
      </c>
      <c r="I77" s="18">
        <f t="shared" si="14"/>
        <v>8.5100754525141778E-2</v>
      </c>
      <c r="J77" s="12">
        <f>J76*(1+Returns!B64)</f>
        <v>66961100.730422959</v>
      </c>
      <c r="K77" s="12">
        <f>K76*(1+Returns!C64)</f>
        <v>23670302.013422806</v>
      </c>
      <c r="L77" s="12">
        <f>L76*(1+Returns!D64)</f>
        <v>8699566.0032328721</v>
      </c>
      <c r="M77" s="12">
        <f>M76*(1+Returns!E64)</f>
        <v>22488323.561562158</v>
      </c>
      <c r="N77" s="12">
        <f>N76*(1+Returns!F64)</f>
        <v>12784309.850805264</v>
      </c>
      <c r="O77" s="12">
        <f>O76*(1+Returns!G64)</f>
        <v>14531226.02424429</v>
      </c>
      <c r="P77" s="12">
        <f>P76*(1+Returns!H64)</f>
        <v>13872004.449869439</v>
      </c>
      <c r="Q77" s="12">
        <f t="shared" si="2"/>
        <v>163006832.63355976</v>
      </c>
      <c r="R77" s="12">
        <f t="shared" si="3"/>
        <v>577315.86557719088</v>
      </c>
      <c r="S77" s="12">
        <f t="shared" si="4"/>
        <v>162429516.76798257</v>
      </c>
      <c r="T77" t="b">
        <f t="shared" si="5"/>
        <v>1</v>
      </c>
      <c r="U77" s="12">
        <f t="shared" si="6"/>
        <v>48902049.790067926</v>
      </c>
      <c r="V77" s="12">
        <f>IF($T77=TRUE, $Q77*$C$8, $K77)</f>
        <v>24451024.895033963</v>
      </c>
      <c r="W77" s="12">
        <f>IF($T77=TRUE, $Q77*$C$9, $L77)</f>
        <v>8150341.6316779889</v>
      </c>
      <c r="X77" s="12">
        <f>IF($T77=TRUE, $Q77*$C$10, $M77)</f>
        <v>32601366.526711956</v>
      </c>
      <c r="Y77" s="12">
        <f>IF($T77=TRUE, $Q77*$C$11, $N77)</f>
        <v>16300683.263355978</v>
      </c>
      <c r="Z77" s="12">
        <f>IF($T77=TRUE, $Q77*$C$12, $O77)</f>
        <v>16300683.263355978</v>
      </c>
      <c r="AA77" s="12">
        <f>IF($T77=TRUE, $Q77*$C$13, $P77)</f>
        <v>16300683.263355978</v>
      </c>
      <c r="AB77" s="12">
        <f>U77-(1-$B$3)</f>
        <v>48902048.793609589</v>
      </c>
      <c r="AC77" s="12">
        <f t="shared" si="13"/>
        <v>24364427.515197385</v>
      </c>
      <c r="AD77" s="12">
        <f t="shared" si="13"/>
        <v>8121475.838399129</v>
      </c>
      <c r="AE77" s="12">
        <f t="shared" si="13"/>
        <v>32485903.353596516</v>
      </c>
      <c r="AF77" s="12">
        <f t="shared" si="12"/>
        <v>16242951.676798258</v>
      </c>
      <c r="AG77" s="12">
        <f t="shared" si="12"/>
        <v>16242951.676798258</v>
      </c>
      <c r="AH77" s="12">
        <f t="shared" si="12"/>
        <v>16242951.676798258</v>
      </c>
      <c r="AI77" s="12">
        <f t="shared" si="8"/>
        <v>162602710.53119737</v>
      </c>
    </row>
    <row r="78" spans="1:35" x14ac:dyDescent="0.2">
      <c r="A78" s="1">
        <f>Returns!A65</f>
        <v>44347</v>
      </c>
      <c r="B78" s="20">
        <f t="shared" si="9"/>
        <v>162429516.76798257</v>
      </c>
      <c r="C78" s="18">
        <f t="shared" si="10"/>
        <v>0.40907378507744152</v>
      </c>
      <c r="D78" s="18">
        <f t="shared" si="14"/>
        <v>0.14866350859289743</v>
      </c>
      <c r="E78" s="18">
        <f t="shared" si="14"/>
        <v>5.3669687565951849E-2</v>
      </c>
      <c r="F78" s="18">
        <f t="shared" si="14"/>
        <v>0.13696973898526055</v>
      </c>
      <c r="G78" s="18">
        <f t="shared" si="14"/>
        <v>7.7914982994315485E-2</v>
      </c>
      <c r="H78" s="18">
        <f t="shared" si="14"/>
        <v>8.890141544665342E-2</v>
      </c>
      <c r="I78" s="18">
        <f t="shared" si="14"/>
        <v>8.4806881337479739E-2</v>
      </c>
      <c r="J78" s="12">
        <f>J77*(1+Returns!B65)</f>
        <v>67401053.167997286</v>
      </c>
      <c r="K78" s="12">
        <f>K77*(1+Returns!C65)</f>
        <v>24494546.97986576</v>
      </c>
      <c r="L78" s="12">
        <f>L77*(1+Returns!D65)</f>
        <v>8842887.5110090878</v>
      </c>
      <c r="M78" s="12">
        <f>M77*(1+Returns!E65)</f>
        <v>22567822.71688363</v>
      </c>
      <c r="N78" s="12">
        <f>N77*(1+Returns!F65)</f>
        <v>12837664.262424672</v>
      </c>
      <c r="O78" s="12">
        <f>O77*(1+Returns!G65)</f>
        <v>14647844.100046037</v>
      </c>
      <c r="P78" s="12">
        <f>P77*(1+Returns!H65)</f>
        <v>13973208.077749107</v>
      </c>
      <c r="Q78" s="12">
        <f t="shared" si="2"/>
        <v>164765026.81597558</v>
      </c>
      <c r="R78" s="12">
        <f t="shared" si="3"/>
        <v>583542.80330658017</v>
      </c>
      <c r="S78" s="12">
        <f t="shared" si="4"/>
        <v>164181484.012669</v>
      </c>
      <c r="T78" t="b">
        <f t="shared" si="5"/>
        <v>1</v>
      </c>
      <c r="U78" s="12">
        <f t="shared" si="6"/>
        <v>49429508.044792674</v>
      </c>
      <c r="V78" s="12">
        <f>IF($T78=TRUE, $Q78*$C$8, $K78)</f>
        <v>24714754.022396337</v>
      </c>
      <c r="W78" s="12">
        <f>IF($T78=TRUE, $Q78*$C$9, $L78)</f>
        <v>8238251.3407987794</v>
      </c>
      <c r="X78" s="12">
        <f>IF($T78=TRUE, $Q78*$C$10, $M78)</f>
        <v>32953005.363195118</v>
      </c>
      <c r="Y78" s="12">
        <f>IF($T78=TRUE, $Q78*$C$11, $N78)</f>
        <v>16476502.681597559</v>
      </c>
      <c r="Z78" s="12">
        <f>IF($T78=TRUE, $Q78*$C$12, $O78)</f>
        <v>16476502.681597559</v>
      </c>
      <c r="AA78" s="12">
        <f>IF($T78=TRUE, $Q78*$C$13, $P78)</f>
        <v>16476502.681597559</v>
      </c>
      <c r="AB78" s="12">
        <f>U78-(1-$B$3)</f>
        <v>49429507.048334338</v>
      </c>
      <c r="AC78" s="12">
        <f t="shared" si="13"/>
        <v>24627222.60190035</v>
      </c>
      <c r="AD78" s="12">
        <f t="shared" si="13"/>
        <v>8209074.2006334504</v>
      </c>
      <c r="AE78" s="12">
        <f t="shared" si="13"/>
        <v>32836296.802533802</v>
      </c>
      <c r="AF78" s="12">
        <f t="shared" si="12"/>
        <v>16418148.401266901</v>
      </c>
      <c r="AG78" s="12">
        <f t="shared" si="12"/>
        <v>16418148.401266901</v>
      </c>
      <c r="AH78" s="12">
        <f t="shared" si="12"/>
        <v>16418148.401266901</v>
      </c>
      <c r="AI78" s="12">
        <f t="shared" si="8"/>
        <v>164356545.85720265</v>
      </c>
    </row>
    <row r="79" spans="1:35" x14ac:dyDescent="0.2">
      <c r="A79" s="1">
        <f>Returns!A66</f>
        <v>44377</v>
      </c>
      <c r="B79" s="20">
        <f t="shared" si="9"/>
        <v>164181484.012669</v>
      </c>
      <c r="C79" s="18">
        <f t="shared" si="10"/>
        <v>0.41346176762735565</v>
      </c>
      <c r="D79" s="18">
        <f t="shared" si="14"/>
        <v>0.14535742664155205</v>
      </c>
      <c r="E79" s="18">
        <f t="shared" si="14"/>
        <v>5.3558725885083133E-2</v>
      </c>
      <c r="F79" s="18">
        <f t="shared" si="14"/>
        <v>0.13668973622403055</v>
      </c>
      <c r="G79" s="18">
        <f t="shared" si="14"/>
        <v>7.8582195907107563E-2</v>
      </c>
      <c r="H79" s="18">
        <f t="shared" si="14"/>
        <v>9.0203793935086277E-2</v>
      </c>
      <c r="I79" s="18">
        <f t="shared" si="14"/>
        <v>8.2146353779784673E-2</v>
      </c>
      <c r="J79" s="12">
        <f>J78*(1+Returns!B66)</f>
        <v>68912858.841515198</v>
      </c>
      <c r="K79" s="12">
        <f>K78*(1+Returns!C66)</f>
        <v>24227139.261744954</v>
      </c>
      <c r="L79" s="12">
        <f>L78*(1+Returns!D66)</f>
        <v>8926786.4785424527</v>
      </c>
      <c r="M79" s="12">
        <f>M78*(1+Returns!E66)</f>
        <v>22782470.436251611</v>
      </c>
      <c r="N79" s="12">
        <f>N78*(1+Returns!F66)</f>
        <v>13097520.007904368</v>
      </c>
      <c r="O79" s="12">
        <f>O78*(1+Returns!G66)</f>
        <v>15034525.088230785</v>
      </c>
      <c r="P79" s="12">
        <f>P78*(1+Returns!H66)</f>
        <v>13691568.4244681</v>
      </c>
      <c r="Q79" s="12">
        <f t="shared" si="2"/>
        <v>166672868.53865749</v>
      </c>
      <c r="R79" s="12">
        <f t="shared" si="3"/>
        <v>590299.7427410786</v>
      </c>
      <c r="S79" s="12">
        <f t="shared" si="4"/>
        <v>166082568.79591641</v>
      </c>
      <c r="T79" t="b">
        <f t="shared" si="5"/>
        <v>1</v>
      </c>
      <c r="U79" s="12">
        <f t="shared" si="6"/>
        <v>50001860.561597243</v>
      </c>
      <c r="V79" s="12">
        <f>IF($T79=TRUE, $Q79*$C$8, $K79)</f>
        <v>25000930.280798621</v>
      </c>
      <c r="W79" s="12">
        <f>IF($T79=TRUE, $Q79*$C$9, $L79)</f>
        <v>8333643.4269328751</v>
      </c>
      <c r="X79" s="12">
        <f>IF($T79=TRUE, $Q79*$C$10, $M79)</f>
        <v>33334573.7077315</v>
      </c>
      <c r="Y79" s="12">
        <f>IF($T79=TRUE, $Q79*$C$11, $N79)</f>
        <v>16667286.85386575</v>
      </c>
      <c r="Z79" s="12">
        <f>IF($T79=TRUE, $Q79*$C$12, $O79)</f>
        <v>16667286.85386575</v>
      </c>
      <c r="AA79" s="12">
        <f>IF($T79=TRUE, $Q79*$C$13, $P79)</f>
        <v>16667286.85386575</v>
      </c>
      <c r="AB79" s="12">
        <f>U79-(1-$B$3)</f>
        <v>50001859.565138906</v>
      </c>
      <c r="AC79" s="12">
        <f t="shared" si="13"/>
        <v>24912385.319387458</v>
      </c>
      <c r="AD79" s="12">
        <f t="shared" si="13"/>
        <v>8304128.439795821</v>
      </c>
      <c r="AE79" s="12">
        <f t="shared" si="13"/>
        <v>33216513.759183284</v>
      </c>
      <c r="AF79" s="12">
        <f t="shared" si="12"/>
        <v>16608256.879591642</v>
      </c>
      <c r="AG79" s="12">
        <f t="shared" si="12"/>
        <v>16608256.879591642</v>
      </c>
      <c r="AH79" s="12">
        <f t="shared" si="12"/>
        <v>16608256.879591642</v>
      </c>
      <c r="AI79" s="12">
        <f t="shared" si="8"/>
        <v>166259657.72228041</v>
      </c>
    </row>
    <row r="80" spans="1:35" x14ac:dyDescent="0.2">
      <c r="A80" s="1">
        <f>Returns!A67</f>
        <v>44408</v>
      </c>
      <c r="B80" s="20">
        <f t="shared" si="9"/>
        <v>166082568.79591641</v>
      </c>
      <c r="C80" s="18">
        <f t="shared" si="10"/>
        <v>0.41667411441487784</v>
      </c>
      <c r="D80" s="18">
        <f t="shared" si="14"/>
        <v>0.14411134241011433</v>
      </c>
      <c r="E80" s="18">
        <f t="shared" si="14"/>
        <v>4.9297407908258498E-2</v>
      </c>
      <c r="F80" s="18">
        <f t="shared" si="14"/>
        <v>0.13715662741827012</v>
      </c>
      <c r="G80" s="18">
        <f t="shared" si="14"/>
        <v>7.8396782974960597E-2</v>
      </c>
      <c r="H80" s="18">
        <f t="shared" si="14"/>
        <v>9.2660754378201357E-2</v>
      </c>
      <c r="I80" s="18">
        <f t="shared" si="14"/>
        <v>8.1702970495317204E-2</v>
      </c>
      <c r="J80" s="12">
        <f>J79*(1+Returns!B67)</f>
        <v>70594530.321046367</v>
      </c>
      <c r="K80" s="12">
        <f>K79*(1+Returns!C67)</f>
        <v>24415897.651006699</v>
      </c>
      <c r="L80" s="12">
        <f>L79*(1+Returns!D67)</f>
        <v>8352156.3661701838</v>
      </c>
      <c r="M80" s="12">
        <f>M79*(1+Returns!E67)</f>
        <v>23237603.100467056</v>
      </c>
      <c r="N80" s="12">
        <f>N79*(1+Returns!F67)</f>
        <v>13282284.359253049</v>
      </c>
      <c r="O80" s="12">
        <f>O79*(1+Returns!G67)</f>
        <v>15698941.230627595</v>
      </c>
      <c r="P80" s="12">
        <f>P79*(1+Returns!H67)</f>
        <v>13842431.359218799</v>
      </c>
      <c r="Q80" s="12">
        <f t="shared" si="2"/>
        <v>169423844.38778976</v>
      </c>
      <c r="R80" s="12">
        <f t="shared" si="3"/>
        <v>600042.78220675548</v>
      </c>
      <c r="S80" s="12">
        <f t="shared" si="4"/>
        <v>168823801.60558301</v>
      </c>
      <c r="T80" t="b">
        <f t="shared" si="5"/>
        <v>1</v>
      </c>
      <c r="U80" s="12">
        <f t="shared" si="6"/>
        <v>50827153.316336922</v>
      </c>
      <c r="V80" s="12">
        <f>IF($T80=TRUE, $Q80*$C$8, $K80)</f>
        <v>25413576.658168461</v>
      </c>
      <c r="W80" s="12">
        <f>IF($T80=TRUE, $Q80*$C$9, $L80)</f>
        <v>8471192.2193894889</v>
      </c>
      <c r="X80" s="12">
        <f>IF($T80=TRUE, $Q80*$C$10, $M80)</f>
        <v>33884768.877557956</v>
      </c>
      <c r="Y80" s="12">
        <f>IF($T80=TRUE, $Q80*$C$11, $N80)</f>
        <v>16942384.438778978</v>
      </c>
      <c r="Z80" s="12">
        <f>IF($T80=TRUE, $Q80*$C$12, $O80)</f>
        <v>16942384.438778978</v>
      </c>
      <c r="AA80" s="12">
        <f>IF($T80=TRUE, $Q80*$C$13, $P80)</f>
        <v>16942384.438778978</v>
      </c>
      <c r="AB80" s="12">
        <f>U80-(1-$B$3)</f>
        <v>50827152.319878586</v>
      </c>
      <c r="AC80" s="12">
        <f t="shared" si="13"/>
        <v>25323570.240837447</v>
      </c>
      <c r="AD80" s="12">
        <f t="shared" si="13"/>
        <v>8441190.080279151</v>
      </c>
      <c r="AE80" s="12">
        <f t="shared" si="13"/>
        <v>33764760.321116604</v>
      </c>
      <c r="AF80" s="12">
        <f t="shared" si="12"/>
        <v>16882380.160558302</v>
      </c>
      <c r="AG80" s="12">
        <f t="shared" si="12"/>
        <v>16882380.160558302</v>
      </c>
      <c r="AH80" s="12">
        <f t="shared" si="12"/>
        <v>16882380.160558302</v>
      </c>
      <c r="AI80" s="12">
        <f t="shared" si="8"/>
        <v>169003813.44378674</v>
      </c>
    </row>
    <row r="81" spans="1:35" x14ac:dyDescent="0.2">
      <c r="A81" s="1">
        <f>Returns!A68</f>
        <v>44439</v>
      </c>
      <c r="B81" s="20">
        <f t="shared" si="9"/>
        <v>168823801.60558301</v>
      </c>
      <c r="C81" s="18">
        <f t="shared" si="10"/>
        <v>0.42176299425417096</v>
      </c>
      <c r="D81" s="18">
        <f t="shared" si="14"/>
        <v>0.14369592244259602</v>
      </c>
      <c r="E81" s="18">
        <f t="shared" si="14"/>
        <v>4.921723991663958E-2</v>
      </c>
      <c r="F81" s="18">
        <f t="shared" si="14"/>
        <v>0.13419306015448959</v>
      </c>
      <c r="G81" s="18">
        <f t="shared" si="14"/>
        <v>7.6663223246743864E-2</v>
      </c>
      <c r="H81" s="18">
        <f t="shared" si="14"/>
        <v>9.3055577841043277E-2</v>
      </c>
      <c r="I81" s="18">
        <f t="shared" si="14"/>
        <v>8.1411982144316802E-2</v>
      </c>
      <c r="J81" s="12">
        <f>J80*(1+Returns!B68)</f>
        <v>72697468.99949041</v>
      </c>
      <c r="K81" s="12">
        <f>K80*(1+Returns!C68)</f>
        <v>24768246.644295286</v>
      </c>
      <c r="L81" s="12">
        <f>L80*(1+Returns!D68)</f>
        <v>8483363.4572599865</v>
      </c>
      <c r="M81" s="12">
        <f>M80*(1+Returns!E68)</f>
        <v>23130279.240783066</v>
      </c>
      <c r="N81" s="12">
        <f>N80*(1+Returns!F68)</f>
        <v>13214109.277739365</v>
      </c>
      <c r="O81" s="12">
        <f>O80*(1+Returns!G68)</f>
        <v>16039588.76783797</v>
      </c>
      <c r="P81" s="12">
        <f>P80*(1+Returns!H68)</f>
        <v>14032632.375890356</v>
      </c>
      <c r="Q81" s="12">
        <f t="shared" ref="Q81:Q135" si="15">SUM(J81:P81)</f>
        <v>172365688.76329643</v>
      </c>
      <c r="R81" s="12">
        <f t="shared" ref="R81:R135" si="16">Q81*$B$3</f>
        <v>610461.81437000819</v>
      </c>
      <c r="S81" s="12">
        <f t="shared" ref="S81:S135" si="17">Q81-R81</f>
        <v>171755226.94892642</v>
      </c>
      <c r="T81" t="b">
        <f t="shared" ref="T81:T135" si="18">OR(
  C81&lt;25%,C81&gt;35%,
  D81&lt;10%,D81&gt;20%,
  E81&lt;2%, E81&gt;7%,
  F81&lt;15%,F81&gt;25%,
  G81&lt;5%, G81&gt;15%,
  H81&lt;5%, H81&gt;15%,
  I81&lt;5%, I81&gt;15%
)</f>
        <v>1</v>
      </c>
      <c r="U81" s="12">
        <f t="shared" ref="U81:U135" si="19">IF($T81=TRUE, $Q81*$C$7, $J81)</f>
        <v>51709706.628988929</v>
      </c>
      <c r="V81" s="12">
        <f>IF($T81=TRUE, $Q81*$C$8, $K81)</f>
        <v>25854853.314494465</v>
      </c>
      <c r="W81" s="12">
        <f>IF($T81=TRUE, $Q81*$C$9, $L81)</f>
        <v>8618284.4381648209</v>
      </c>
      <c r="X81" s="12">
        <f>IF($T81=TRUE, $Q81*$C$10, $M81)</f>
        <v>34473137.752659284</v>
      </c>
      <c r="Y81" s="12">
        <f>IF($T81=TRUE, $Q81*$C$11, $N81)</f>
        <v>17236568.876329642</v>
      </c>
      <c r="Z81" s="12">
        <f>IF($T81=TRUE, $Q81*$C$12, $O81)</f>
        <v>17236568.876329642</v>
      </c>
      <c r="AA81" s="12">
        <f>IF($T81=TRUE, $Q81*$C$13, $P81)</f>
        <v>17236568.876329642</v>
      </c>
      <c r="AB81" s="12">
        <f>U81-(1-$B$3)</f>
        <v>51709705.632530592</v>
      </c>
      <c r="AC81" s="12">
        <f t="shared" si="13"/>
        <v>25763284.042338964</v>
      </c>
      <c r="AD81" s="12">
        <f t="shared" si="13"/>
        <v>8587761.3474463206</v>
      </c>
      <c r="AE81" s="12">
        <f t="shared" si="13"/>
        <v>34351045.389785282</v>
      </c>
      <c r="AF81" s="12">
        <f t="shared" si="12"/>
        <v>17175522.694892641</v>
      </c>
      <c r="AG81" s="12">
        <f t="shared" si="12"/>
        <v>17175522.694892641</v>
      </c>
      <c r="AH81" s="12">
        <f t="shared" si="12"/>
        <v>17175522.694892641</v>
      </c>
      <c r="AI81" s="12">
        <f t="shared" ref="AI81:AI135" si="20">SUM(AB81:AH81)</f>
        <v>171938364.49677908</v>
      </c>
    </row>
    <row r="82" spans="1:35" x14ac:dyDescent="0.2">
      <c r="A82" s="1">
        <f>Returns!A69</f>
        <v>44469</v>
      </c>
      <c r="B82" s="20">
        <f t="shared" ref="B82:B135" si="21">S81</f>
        <v>171755226.94892642</v>
      </c>
      <c r="C82" s="18">
        <f t="shared" ref="C82:C135" si="22">J82/Q82</f>
        <v>0.41717732634840388</v>
      </c>
      <c r="D82" s="18">
        <f t="shared" si="14"/>
        <v>0.14422012661488251</v>
      </c>
      <c r="E82" s="18">
        <f t="shared" si="14"/>
        <v>4.9085566621716509E-2</v>
      </c>
      <c r="F82" s="18">
        <f t="shared" si="14"/>
        <v>0.13690657219078728</v>
      </c>
      <c r="G82" s="18">
        <f t="shared" si="14"/>
        <v>7.8201165417774027E-2</v>
      </c>
      <c r="H82" s="18">
        <f t="shared" si="14"/>
        <v>9.1051062408747607E-2</v>
      </c>
      <c r="I82" s="18">
        <f t="shared" si="14"/>
        <v>8.335818039768822E-2</v>
      </c>
      <c r="J82" s="12">
        <f>J81*(1+Returns!B69)</f>
        <v>69306947.511465952</v>
      </c>
      <c r="K82" s="12">
        <f>K81*(1+Returns!C69)</f>
        <v>23959731.543624144</v>
      </c>
      <c r="L82" s="12">
        <f>L81*(1+Returns!D69)</f>
        <v>8154735.5873812027</v>
      </c>
      <c r="M82" s="12">
        <f>M81*(1+Returns!E69)</f>
        <v>22744708.337473914</v>
      </c>
      <c r="N82" s="12">
        <f>N81*(1+Returns!F69)</f>
        <v>12991799.229325175</v>
      </c>
      <c r="O82" s="12">
        <f>O81*(1+Returns!G69)</f>
        <v>15126591.990179537</v>
      </c>
      <c r="P82" s="12">
        <f>P81*(1+Returns!H69)</f>
        <v>13848549.929698238</v>
      </c>
      <c r="Q82" s="12">
        <f t="shared" si="15"/>
        <v>166133064.12914816</v>
      </c>
      <c r="R82" s="12">
        <f t="shared" si="16"/>
        <v>588387.93545739981</v>
      </c>
      <c r="S82" s="12">
        <f t="shared" si="17"/>
        <v>165544676.19369075</v>
      </c>
      <c r="T82" t="b">
        <f t="shared" si="18"/>
        <v>1</v>
      </c>
      <c r="U82" s="12">
        <f t="shared" si="19"/>
        <v>49839919.238744445</v>
      </c>
      <c r="V82" s="12">
        <f>IF($T82=TRUE, $Q82*$C$8, $K82)</f>
        <v>24919959.619372223</v>
      </c>
      <c r="W82" s="12">
        <f>IF($T82=TRUE, $Q82*$C$9, $L82)</f>
        <v>8306653.2064574081</v>
      </c>
      <c r="X82" s="12">
        <f>IF($T82=TRUE, $Q82*$C$10, $M82)</f>
        <v>33226612.825829633</v>
      </c>
      <c r="Y82" s="12">
        <f>IF($T82=TRUE, $Q82*$C$11, $N82)</f>
        <v>16613306.412914816</v>
      </c>
      <c r="Z82" s="12">
        <f>IF($T82=TRUE, $Q82*$C$12, $O82)</f>
        <v>16613306.412914816</v>
      </c>
      <c r="AA82" s="12">
        <f>IF($T82=TRUE, $Q82*$C$13, $P82)</f>
        <v>16613306.412914816</v>
      </c>
      <c r="AB82" s="12">
        <f>U82-(1-$B$3)</f>
        <v>49839918.242286108</v>
      </c>
      <c r="AC82" s="12">
        <f t="shared" si="13"/>
        <v>24831701.429053612</v>
      </c>
      <c r="AD82" s="12">
        <f t="shared" si="13"/>
        <v>8277233.8096845383</v>
      </c>
      <c r="AE82" s="12">
        <f t="shared" si="13"/>
        <v>33108935.238738153</v>
      </c>
      <c r="AF82" s="12">
        <f t="shared" si="12"/>
        <v>16554467.619369077</v>
      </c>
      <c r="AG82" s="12">
        <f t="shared" si="12"/>
        <v>16554467.619369077</v>
      </c>
      <c r="AH82" s="12">
        <f t="shared" si="12"/>
        <v>16554467.619369077</v>
      </c>
      <c r="AI82" s="12">
        <f t="shared" si="20"/>
        <v>165721191.57786965</v>
      </c>
    </row>
    <row r="83" spans="1:35" x14ac:dyDescent="0.2">
      <c r="A83" s="1">
        <f>Returns!A70</f>
        <v>44500</v>
      </c>
      <c r="B83" s="20">
        <f t="shared" si="21"/>
        <v>165544676.19369075</v>
      </c>
      <c r="C83" s="18">
        <f t="shared" si="22"/>
        <v>0.42759221265962916</v>
      </c>
      <c r="D83" s="18">
        <f t="shared" si="14"/>
        <v>0.14253209204031789</v>
      </c>
      <c r="E83" s="18">
        <f t="shared" si="14"/>
        <v>4.75151397882295E-2</v>
      </c>
      <c r="F83" s="18">
        <f t="shared" si="14"/>
        <v>0.13054766147180893</v>
      </c>
      <c r="G83" s="18">
        <f t="shared" si="14"/>
        <v>7.5294895737307785E-2</v>
      </c>
      <c r="H83" s="18">
        <f t="shared" si="14"/>
        <v>9.3430527465627689E-2</v>
      </c>
      <c r="I83" s="18">
        <f t="shared" si="14"/>
        <v>8.3087470837079208E-2</v>
      </c>
      <c r="J83" s="12">
        <f>J82*(1+Returns!B70)</f>
        <v>74171904.195685416</v>
      </c>
      <c r="K83" s="12">
        <f>K82*(1+Returns!C70)</f>
        <v>24724203.020134214</v>
      </c>
      <c r="L83" s="12">
        <f>L82*(1+Returns!D70)</f>
        <v>8242171.6108814022</v>
      </c>
      <c r="M83" s="12">
        <f>M82*(1+Returns!E70)</f>
        <v>22645334.393322069</v>
      </c>
      <c r="N83" s="12">
        <f>N82*(1+Returns!F70)</f>
        <v>13060962.355498476</v>
      </c>
      <c r="O83" s="12">
        <f>O82*(1+Returns!G70)</f>
        <v>16206843.639711533</v>
      </c>
      <c r="P83" s="12">
        <f>P82*(1+Returns!H70)</f>
        <v>14412694.488651283</v>
      </c>
      <c r="Q83" s="12">
        <f t="shared" si="15"/>
        <v>173464113.70388436</v>
      </c>
      <c r="R83" s="12">
        <f t="shared" si="16"/>
        <v>614352.06936792377</v>
      </c>
      <c r="S83" s="12">
        <f t="shared" si="17"/>
        <v>172849761.63451645</v>
      </c>
      <c r="T83" t="b">
        <f t="shared" si="18"/>
        <v>1</v>
      </c>
      <c r="U83" s="12">
        <f t="shared" si="19"/>
        <v>52039234.111165307</v>
      </c>
      <c r="V83" s="12">
        <f>IF($T83=TRUE, $Q83*$C$8, $K83)</f>
        <v>26019617.055582654</v>
      </c>
      <c r="W83" s="12">
        <f>IF($T83=TRUE, $Q83*$C$9, $L83)</f>
        <v>8673205.6851942185</v>
      </c>
      <c r="X83" s="12">
        <f>IF($T83=TRUE, $Q83*$C$10, $M83)</f>
        <v>34692822.740776874</v>
      </c>
      <c r="Y83" s="12">
        <f>IF($T83=TRUE, $Q83*$C$11, $N83)</f>
        <v>17346411.370388437</v>
      </c>
      <c r="Z83" s="12">
        <f>IF($T83=TRUE, $Q83*$C$12, $O83)</f>
        <v>17346411.370388437</v>
      </c>
      <c r="AA83" s="12">
        <f>IF($T83=TRUE, $Q83*$C$13, $P83)</f>
        <v>17346411.370388437</v>
      </c>
      <c r="AB83" s="12">
        <f>U83-(1-$B$3)</f>
        <v>52039233.114706971</v>
      </c>
      <c r="AC83" s="12">
        <f t="shared" si="13"/>
        <v>25927464.245177466</v>
      </c>
      <c r="AD83" s="12">
        <f t="shared" si="13"/>
        <v>8642488.0817258228</v>
      </c>
      <c r="AE83" s="12">
        <f t="shared" si="13"/>
        <v>34569952.326903291</v>
      </c>
      <c r="AF83" s="12">
        <f t="shared" si="12"/>
        <v>17284976.163451646</v>
      </c>
      <c r="AG83" s="12">
        <f t="shared" si="12"/>
        <v>17284976.163451646</v>
      </c>
      <c r="AH83" s="12">
        <f t="shared" si="12"/>
        <v>17284976.163451646</v>
      </c>
      <c r="AI83" s="12">
        <f t="shared" si="20"/>
        <v>173034066.25886849</v>
      </c>
    </row>
    <row r="84" spans="1:35" x14ac:dyDescent="0.2">
      <c r="A84" s="1">
        <f>Returns!A71</f>
        <v>44530</v>
      </c>
      <c r="B84" s="20">
        <f t="shared" si="21"/>
        <v>172849761.63451645</v>
      </c>
      <c r="C84" s="18">
        <f t="shared" si="22"/>
        <v>0.43146709081234119</v>
      </c>
      <c r="D84" s="18">
        <f t="shared" si="14"/>
        <v>0.13840299627482544</v>
      </c>
      <c r="E84" s="18">
        <f t="shared" si="14"/>
        <v>4.6359703723877203E-2</v>
      </c>
      <c r="F84" s="18">
        <f t="shared" si="14"/>
        <v>0.13415018214897997</v>
      </c>
      <c r="G84" s="18">
        <f t="shared" si="14"/>
        <v>7.6355354609379533E-2</v>
      </c>
      <c r="H84" s="18">
        <f t="shared" si="14"/>
        <v>9.3025545827640888E-2</v>
      </c>
      <c r="I84" s="18">
        <f t="shared" si="14"/>
        <v>8.0239126602955652E-2</v>
      </c>
      <c r="J84" s="12">
        <f>J83*(1+Returns!B71)</f>
        <v>73575675.216578916</v>
      </c>
      <c r="K84" s="12">
        <f>K83*(1+Returns!C71)</f>
        <v>23601090.604026832</v>
      </c>
      <c r="L84" s="12">
        <f>L83*(1+Returns!D71)</f>
        <v>7905461.5681183953</v>
      </c>
      <c r="M84" s="12">
        <f>M83*(1+Returns!E71)</f>
        <v>22875881.943754345</v>
      </c>
      <c r="N84" s="12">
        <f>N83*(1+Returns!F71)</f>
        <v>13020452.524454113</v>
      </c>
      <c r="O84" s="12">
        <f>O83*(1+Returns!G71)</f>
        <v>15863127.205769533</v>
      </c>
      <c r="P84" s="12">
        <f>P83*(1+Returns!H71)</f>
        <v>13682730.489331124</v>
      </c>
      <c r="Q84" s="12">
        <f t="shared" si="15"/>
        <v>170524419.55203328</v>
      </c>
      <c r="R84" s="12">
        <f t="shared" si="16"/>
        <v>603940.65258011792</v>
      </c>
      <c r="S84" s="12">
        <f t="shared" si="17"/>
        <v>169920478.89945316</v>
      </c>
      <c r="T84" t="b">
        <f t="shared" si="18"/>
        <v>1</v>
      </c>
      <c r="U84" s="12">
        <f t="shared" si="19"/>
        <v>51157325.865609981</v>
      </c>
      <c r="V84" s="12">
        <f>IF($T84=TRUE, $Q84*$C$8, $K84)</f>
        <v>25578662.932804991</v>
      </c>
      <c r="W84" s="12">
        <f>IF($T84=TRUE, $Q84*$C$9, $L84)</f>
        <v>8526220.9776016641</v>
      </c>
      <c r="X84" s="12">
        <f>IF($T84=TRUE, $Q84*$C$10, $M84)</f>
        <v>34104883.910406657</v>
      </c>
      <c r="Y84" s="12">
        <f>IF($T84=TRUE, $Q84*$C$11, $N84)</f>
        <v>17052441.955203328</v>
      </c>
      <c r="Z84" s="12">
        <f>IF($T84=TRUE, $Q84*$C$12, $O84)</f>
        <v>17052441.955203328</v>
      </c>
      <c r="AA84" s="12">
        <f>IF($T84=TRUE, $Q84*$C$13, $P84)</f>
        <v>17052441.955203328</v>
      </c>
      <c r="AB84" s="12">
        <f>U84-(1-$B$3)</f>
        <v>51157324.869151644</v>
      </c>
      <c r="AC84" s="12">
        <f t="shared" si="13"/>
        <v>25488071.834917974</v>
      </c>
      <c r="AD84" s="12">
        <f t="shared" si="13"/>
        <v>8496023.9449726585</v>
      </c>
      <c r="AE84" s="12">
        <f t="shared" si="13"/>
        <v>33984095.779890634</v>
      </c>
      <c r="AF84" s="12">
        <f t="shared" si="12"/>
        <v>16992047.889945317</v>
      </c>
      <c r="AG84" s="12">
        <f t="shared" si="12"/>
        <v>16992047.889945317</v>
      </c>
      <c r="AH84" s="12">
        <f t="shared" si="12"/>
        <v>16992047.889945317</v>
      </c>
      <c r="AI84" s="12">
        <f t="shared" si="20"/>
        <v>170101660.09876889</v>
      </c>
    </row>
    <row r="85" spans="1:35" x14ac:dyDescent="0.2">
      <c r="A85" s="1">
        <f>Returns!A72</f>
        <v>44561</v>
      </c>
      <c r="B85" s="20">
        <f t="shared" si="21"/>
        <v>169920478.89945316</v>
      </c>
      <c r="C85" s="18">
        <f t="shared" si="22"/>
        <v>0.43525391923266382</v>
      </c>
      <c r="D85" s="18">
        <f t="shared" si="14"/>
        <v>0.13691532870003761</v>
      </c>
      <c r="E85" s="18">
        <f t="shared" si="14"/>
        <v>4.5376795034494433E-2</v>
      </c>
      <c r="F85" s="18">
        <f t="shared" si="14"/>
        <v>0.12857072210408454</v>
      </c>
      <c r="G85" s="18">
        <f t="shared" si="14"/>
        <v>7.3464563492060972E-2</v>
      </c>
      <c r="H85" s="18">
        <f t="shared" si="14"/>
        <v>9.8405074949855231E-2</v>
      </c>
      <c r="I85" s="18">
        <f t="shared" si="14"/>
        <v>8.201359648680337E-2</v>
      </c>
      <c r="J85" s="12">
        <f>J84*(1+Returns!B72)</f>
        <v>76978087.311024323</v>
      </c>
      <c r="K85" s="12">
        <f>K84*(1+Returns!C72)</f>
        <v>24214555.369127505</v>
      </c>
      <c r="L85" s="12">
        <f>L84*(1+Returns!D72)</f>
        <v>8025243.9684353154</v>
      </c>
      <c r="M85" s="12">
        <f>M84*(1+Returns!E72)</f>
        <v>22738745.900824804</v>
      </c>
      <c r="N85" s="12">
        <f>N84*(1+Returns!F72)</f>
        <v>12992787.273984792</v>
      </c>
      <c r="O85" s="12">
        <f>O84*(1+Returns!G72)</f>
        <v>17403713.365045276</v>
      </c>
      <c r="P85" s="12">
        <f>P84*(1+Returns!H72)</f>
        <v>14504751.162682895</v>
      </c>
      <c r="Q85" s="12">
        <f t="shared" si="15"/>
        <v>176857884.35112491</v>
      </c>
      <c r="R85" s="12">
        <f t="shared" si="16"/>
        <v>626371.67374356743</v>
      </c>
      <c r="S85" s="12">
        <f t="shared" si="17"/>
        <v>176231512.67738134</v>
      </c>
      <c r="T85" t="b">
        <f t="shared" si="18"/>
        <v>1</v>
      </c>
      <c r="U85" s="12">
        <f t="shared" si="19"/>
        <v>53057365.305337474</v>
      </c>
      <c r="V85" s="12">
        <f>IF($T85=TRUE, $Q85*$C$8, $K85)</f>
        <v>26528682.652668737</v>
      </c>
      <c r="W85" s="12">
        <f>IF($T85=TRUE, $Q85*$C$9, $L85)</f>
        <v>8842894.2175562456</v>
      </c>
      <c r="X85" s="12">
        <f>IF($T85=TRUE, $Q85*$C$10, $M85)</f>
        <v>35371576.870224983</v>
      </c>
      <c r="Y85" s="12">
        <f>IF($T85=TRUE, $Q85*$C$11, $N85)</f>
        <v>17685788.435112491</v>
      </c>
      <c r="Z85" s="12">
        <f>IF($T85=TRUE, $Q85*$C$12, $O85)</f>
        <v>17685788.435112491</v>
      </c>
      <c r="AA85" s="12">
        <f>IF($T85=TRUE, $Q85*$C$13, $P85)</f>
        <v>17685788.435112491</v>
      </c>
      <c r="AB85" s="12">
        <f>U85-(1-$B$3)</f>
        <v>53057364.308879137</v>
      </c>
      <c r="AC85" s="12">
        <f t="shared" si="13"/>
        <v>26434726.901607201</v>
      </c>
      <c r="AD85" s="12">
        <f t="shared" si="13"/>
        <v>8811575.6338690668</v>
      </c>
      <c r="AE85" s="12">
        <f t="shared" si="13"/>
        <v>35246302.535476267</v>
      </c>
      <c r="AF85" s="12">
        <f t="shared" si="12"/>
        <v>17623151.267738134</v>
      </c>
      <c r="AG85" s="12">
        <f t="shared" si="12"/>
        <v>17623151.267738134</v>
      </c>
      <c r="AH85" s="12">
        <f t="shared" si="12"/>
        <v>17623151.267738134</v>
      </c>
      <c r="AI85" s="12">
        <f t="shared" si="20"/>
        <v>176419423.18304607</v>
      </c>
    </row>
    <row r="86" spans="1:35" x14ac:dyDescent="0.2">
      <c r="A86" s="1">
        <f>Returns!A73</f>
        <v>44592</v>
      </c>
      <c r="B86" s="20">
        <f t="shared" si="21"/>
        <v>176231512.67738134</v>
      </c>
      <c r="C86" s="18">
        <f t="shared" si="22"/>
        <v>0.43044700887888643</v>
      </c>
      <c r="D86" s="18">
        <f t="shared" si="14"/>
        <v>0.13776060234902904</v>
      </c>
      <c r="E86" s="18">
        <f t="shared" si="14"/>
        <v>4.7364545841393275E-2</v>
      </c>
      <c r="F86" s="18">
        <f t="shared" si="14"/>
        <v>0.13140253309697414</v>
      </c>
      <c r="G86" s="18">
        <f t="shared" si="14"/>
        <v>7.3945289624359561E-2</v>
      </c>
      <c r="H86" s="18">
        <f t="shared" si="14"/>
        <v>9.4086129366281329E-2</v>
      </c>
      <c r="I86" s="18">
        <f t="shared" si="14"/>
        <v>8.4993890843076264E-2</v>
      </c>
      <c r="J86" s="12">
        <f>J85*(1+Returns!B73)</f>
        <v>72918294.547307655</v>
      </c>
      <c r="K86" s="12">
        <f>K85*(1+Returns!C73)</f>
        <v>23336828.859060392</v>
      </c>
      <c r="L86" s="12">
        <f>L85*(1+Returns!D73)</f>
        <v>8023616.9226905694</v>
      </c>
      <c r="M86" s="12">
        <f>M85*(1+Returns!E73)</f>
        <v>22259763.490012921</v>
      </c>
      <c r="N86" s="12">
        <f>N85*(1+Returns!F73)</f>
        <v>12526430.194644805</v>
      </c>
      <c r="O86" s="12">
        <f>O85*(1+Returns!G73)</f>
        <v>15938315.175694346</v>
      </c>
      <c r="P86" s="12">
        <f>P85*(1+Returns!H73)</f>
        <v>14398077.903617058</v>
      </c>
      <c r="Q86" s="12">
        <f t="shared" si="15"/>
        <v>169401327.09302774</v>
      </c>
      <c r="R86" s="12">
        <f t="shared" si="16"/>
        <v>599963.03345447325</v>
      </c>
      <c r="S86" s="12">
        <f t="shared" si="17"/>
        <v>168801364.05957326</v>
      </c>
      <c r="T86" t="b">
        <f t="shared" si="18"/>
        <v>1</v>
      </c>
      <c r="U86" s="12">
        <f t="shared" si="19"/>
        <v>50820398.127908319</v>
      </c>
      <c r="V86" s="12">
        <f>IF($T86=TRUE, $Q86*$C$8, $K86)</f>
        <v>25410199.06395416</v>
      </c>
      <c r="W86" s="12">
        <f>IF($T86=TRUE, $Q86*$C$9, $L86)</f>
        <v>8470066.3546513878</v>
      </c>
      <c r="X86" s="12">
        <f>IF($T86=TRUE, $Q86*$C$10, $M86)</f>
        <v>33880265.418605551</v>
      </c>
      <c r="Y86" s="12">
        <f>IF($T86=TRUE, $Q86*$C$11, $N86)</f>
        <v>16940132.709302776</v>
      </c>
      <c r="Z86" s="12">
        <f>IF($T86=TRUE, $Q86*$C$12, $O86)</f>
        <v>16940132.709302776</v>
      </c>
      <c r="AA86" s="12">
        <f>IF($T86=TRUE, $Q86*$C$13, $P86)</f>
        <v>16940132.709302776</v>
      </c>
      <c r="AB86" s="12">
        <f>U86-(1-$B$3)</f>
        <v>50820397.131449983</v>
      </c>
      <c r="AC86" s="12">
        <f t="shared" si="13"/>
        <v>25320204.608935989</v>
      </c>
      <c r="AD86" s="12">
        <f t="shared" si="13"/>
        <v>8440068.202978665</v>
      </c>
      <c r="AE86" s="12">
        <f t="shared" si="13"/>
        <v>33760272.81191466</v>
      </c>
      <c r="AF86" s="12">
        <f t="shared" si="12"/>
        <v>16880136.40595733</v>
      </c>
      <c r="AG86" s="12">
        <f t="shared" si="12"/>
        <v>16880136.40595733</v>
      </c>
      <c r="AH86" s="12">
        <f t="shared" si="12"/>
        <v>16880136.40595733</v>
      </c>
      <c r="AI86" s="12">
        <f t="shared" si="20"/>
        <v>168981351.97315133</v>
      </c>
    </row>
    <row r="87" spans="1:35" x14ac:dyDescent="0.2">
      <c r="A87" s="1">
        <f>Returns!A74</f>
        <v>44620</v>
      </c>
      <c r="B87" s="20">
        <f t="shared" si="21"/>
        <v>168801364.05957326</v>
      </c>
      <c r="C87" s="18">
        <f t="shared" si="22"/>
        <v>0.42773110815577747</v>
      </c>
      <c r="D87" s="18">
        <f t="shared" si="14"/>
        <v>0.13620579034623712</v>
      </c>
      <c r="E87" s="18">
        <f t="shared" si="14"/>
        <v>4.6401959845840828E-2</v>
      </c>
      <c r="F87" s="18">
        <f t="shared" si="14"/>
        <v>0.13400398226205723</v>
      </c>
      <c r="G87" s="18">
        <f t="shared" si="14"/>
        <v>7.395765384195109E-2</v>
      </c>
      <c r="H87" s="18">
        <f t="shared" si="14"/>
        <v>9.2978442595216454E-2</v>
      </c>
      <c r="I87" s="18">
        <f t="shared" si="14"/>
        <v>8.8721062952919802E-2</v>
      </c>
      <c r="J87" s="12">
        <f>J86*(1+Returns!B74)</f>
        <v>70766094.785119787</v>
      </c>
      <c r="K87" s="12">
        <f>K86*(1+Returns!C74)</f>
        <v>22534605.704697974</v>
      </c>
      <c r="L87" s="12">
        <f>L86*(1+Returns!D74)</f>
        <v>7676985.4379405873</v>
      </c>
      <c r="M87" s="12">
        <f>M86*(1+Returns!E74)</f>
        <v>22170326.940276261</v>
      </c>
      <c r="N87" s="12">
        <f>N86*(1+Returns!F74)</f>
        <v>12235945.064716931</v>
      </c>
      <c r="O87" s="12">
        <f>O86*(1+Returns!G74)</f>
        <v>15382844.867270224</v>
      </c>
      <c r="P87" s="12">
        <f>P86*(1+Returns!H74)</f>
        <v>14678481.482053732</v>
      </c>
      <c r="Q87" s="12">
        <f t="shared" si="15"/>
        <v>165445284.28207549</v>
      </c>
      <c r="R87" s="12">
        <f t="shared" si="16"/>
        <v>585952.04849901737</v>
      </c>
      <c r="S87" s="12">
        <f t="shared" si="17"/>
        <v>164859332.23357648</v>
      </c>
      <c r="T87" t="b">
        <f t="shared" si="18"/>
        <v>1</v>
      </c>
      <c r="U87" s="12">
        <f t="shared" si="19"/>
        <v>49633585.284622647</v>
      </c>
      <c r="V87" s="12">
        <f>IF($T87=TRUE, $Q87*$C$8, $K87)</f>
        <v>24816792.642311323</v>
      </c>
      <c r="W87" s="12">
        <f>IF($T87=TRUE, $Q87*$C$9, $L87)</f>
        <v>8272264.2141037751</v>
      </c>
      <c r="X87" s="12">
        <f>IF($T87=TRUE, $Q87*$C$10, $M87)</f>
        <v>33089056.8564151</v>
      </c>
      <c r="Y87" s="12">
        <f>IF($T87=TRUE, $Q87*$C$11, $N87)</f>
        <v>16544528.42820755</v>
      </c>
      <c r="Z87" s="12">
        <f>IF($T87=TRUE, $Q87*$C$12, $O87)</f>
        <v>16544528.42820755</v>
      </c>
      <c r="AA87" s="12">
        <f>IF($T87=TRUE, $Q87*$C$13, $P87)</f>
        <v>16544528.42820755</v>
      </c>
      <c r="AB87" s="12">
        <f>U87-(1-$B$3)</f>
        <v>49633584.28816431</v>
      </c>
      <c r="AC87" s="12">
        <f t="shared" si="13"/>
        <v>24728899.835036471</v>
      </c>
      <c r="AD87" s="12">
        <f t="shared" si="13"/>
        <v>8242966.6116788238</v>
      </c>
      <c r="AE87" s="12">
        <f t="shared" si="13"/>
        <v>32971866.446715295</v>
      </c>
      <c r="AF87" s="12">
        <f t="shared" si="12"/>
        <v>16485933.223357648</v>
      </c>
      <c r="AG87" s="12">
        <f t="shared" si="12"/>
        <v>16485933.223357648</v>
      </c>
      <c r="AH87" s="12">
        <f t="shared" si="12"/>
        <v>16485933.223357648</v>
      </c>
      <c r="AI87" s="12">
        <f t="shared" si="20"/>
        <v>165035116.85166785</v>
      </c>
    </row>
    <row r="88" spans="1:35" x14ac:dyDescent="0.2">
      <c r="A88" s="1">
        <f>Returns!A75</f>
        <v>44651</v>
      </c>
      <c r="B88" s="20">
        <f t="shared" si="21"/>
        <v>164859332.23357648</v>
      </c>
      <c r="C88" s="18">
        <f t="shared" si="22"/>
        <v>0.43589842064296774</v>
      </c>
      <c r="D88" s="18">
        <f t="shared" si="14"/>
        <v>0.13446577025711434</v>
      </c>
      <c r="E88" s="18">
        <f t="shared" si="14"/>
        <v>4.4032873071313233E-2</v>
      </c>
      <c r="F88" s="18">
        <f t="shared" si="14"/>
        <v>0.12614955076221054</v>
      </c>
      <c r="G88" s="18">
        <f t="shared" si="14"/>
        <v>7.0391180089652672E-2</v>
      </c>
      <c r="H88" s="18">
        <f t="shared" si="14"/>
        <v>9.7039475665038802E-2</v>
      </c>
      <c r="I88" s="18">
        <f t="shared" si="14"/>
        <v>9.2022729511702761E-2</v>
      </c>
      <c r="J88" s="12">
        <f>J87*(1+Returns!B75)</f>
        <v>73427891.965347394</v>
      </c>
      <c r="K88" s="12">
        <f>K87*(1+Returns!C75)</f>
        <v>22651006.711409386</v>
      </c>
      <c r="L88" s="12">
        <f>L87*(1+Returns!D75)</f>
        <v>7417418.585814286</v>
      </c>
      <c r="M88" s="12">
        <f>M87*(1+Returns!E75)</f>
        <v>21250124.217430193</v>
      </c>
      <c r="N88" s="12">
        <f>N87*(1+Returns!F75)</f>
        <v>11857523.960083002</v>
      </c>
      <c r="O88" s="12">
        <f>O87*(1+Returns!G75)</f>
        <v>16346478.441000469</v>
      </c>
      <c r="P88" s="12">
        <f>P87*(1+Returns!H75)</f>
        <v>15501398.309667643</v>
      </c>
      <c r="Q88" s="12">
        <f t="shared" si="15"/>
        <v>168451842.19075236</v>
      </c>
      <c r="R88" s="12">
        <f t="shared" si="16"/>
        <v>596600.27442558133</v>
      </c>
      <c r="S88" s="12">
        <f t="shared" si="17"/>
        <v>167855241.91632676</v>
      </c>
      <c r="T88" t="b">
        <f t="shared" si="18"/>
        <v>1</v>
      </c>
      <c r="U88" s="12">
        <f t="shared" si="19"/>
        <v>50535552.657225706</v>
      </c>
      <c r="V88" s="12">
        <f>IF($T88=TRUE, $Q88*$C$8, $K88)</f>
        <v>25267776.328612853</v>
      </c>
      <c r="W88" s="12">
        <f>IF($T88=TRUE, $Q88*$C$9, $L88)</f>
        <v>8422592.1095376182</v>
      </c>
      <c r="X88" s="12">
        <f>IF($T88=TRUE, $Q88*$C$10, $M88)</f>
        <v>33690368.438150473</v>
      </c>
      <c r="Y88" s="12">
        <f>IF($T88=TRUE, $Q88*$C$11, $N88)</f>
        <v>16845184.219075236</v>
      </c>
      <c r="Z88" s="12">
        <f>IF($T88=TRUE, $Q88*$C$12, $O88)</f>
        <v>16845184.219075236</v>
      </c>
      <c r="AA88" s="12">
        <f>IF($T88=TRUE, $Q88*$C$13, $P88)</f>
        <v>16845184.219075236</v>
      </c>
      <c r="AB88" s="12">
        <f>U88-(1-$B$3)</f>
        <v>50535551.660767369</v>
      </c>
      <c r="AC88" s="12">
        <f t="shared" si="13"/>
        <v>25178286.287449017</v>
      </c>
      <c r="AD88" s="12">
        <f t="shared" si="13"/>
        <v>8392762.0958163384</v>
      </c>
      <c r="AE88" s="12">
        <f t="shared" si="13"/>
        <v>33571048.383265354</v>
      </c>
      <c r="AF88" s="12">
        <f t="shared" si="12"/>
        <v>16785524.191632677</v>
      </c>
      <c r="AG88" s="12">
        <f t="shared" si="12"/>
        <v>16785524.191632677</v>
      </c>
      <c r="AH88" s="12">
        <f t="shared" si="12"/>
        <v>16785524.191632677</v>
      </c>
      <c r="AI88" s="12">
        <f t="shared" si="20"/>
        <v>168034221.00219613</v>
      </c>
    </row>
    <row r="89" spans="1:35" x14ac:dyDescent="0.2">
      <c r="A89" s="1">
        <f>Returns!A76</f>
        <v>44681</v>
      </c>
      <c r="B89" s="20">
        <f t="shared" si="21"/>
        <v>167855241.91632676</v>
      </c>
      <c r="C89" s="18">
        <f t="shared" si="22"/>
        <v>0.42662317397535887</v>
      </c>
      <c r="D89" s="18">
        <f t="shared" si="14"/>
        <v>0.13454875663630883</v>
      </c>
      <c r="E89" s="18">
        <f t="shared" si="14"/>
        <v>4.4343906263629385E-2</v>
      </c>
      <c r="F89" s="18">
        <f t="shared" si="14"/>
        <v>0.12948347942438107</v>
      </c>
      <c r="G89" s="18">
        <f t="shared" si="14"/>
        <v>7.0311284719772188E-2</v>
      </c>
      <c r="H89" s="18">
        <f t="shared" si="14"/>
        <v>9.9861212946008693E-2</v>
      </c>
      <c r="I89" s="18">
        <f t="shared" si="14"/>
        <v>9.4828186034541032E-2</v>
      </c>
      <c r="J89" s="12">
        <f>J88*(1+Returns!B76)</f>
        <v>66983183.285204709</v>
      </c>
      <c r="K89" s="12">
        <f>K88*(1+Returns!C76)</f>
        <v>21125209.731543619</v>
      </c>
      <c r="L89" s="12">
        <f>L88*(1+Returns!D76)</f>
        <v>6962340.9651210932</v>
      </c>
      <c r="M89" s="12">
        <f>M88*(1+Returns!E76)</f>
        <v>20329921.494584125</v>
      </c>
      <c r="N89" s="12">
        <f>N88*(1+Returns!F76)</f>
        <v>11039422.981918788</v>
      </c>
      <c r="O89" s="12">
        <f>O88*(1+Returns!G76)</f>
        <v>15678993.401872037</v>
      </c>
      <c r="P89" s="12">
        <f>P88*(1+Returns!H76)</f>
        <v>14888768.714945681</v>
      </c>
      <c r="Q89" s="12">
        <f t="shared" si="15"/>
        <v>157007840.57519004</v>
      </c>
      <c r="R89" s="12">
        <f t="shared" si="16"/>
        <v>556069.43537046481</v>
      </c>
      <c r="S89" s="12">
        <f t="shared" si="17"/>
        <v>156451771.13981956</v>
      </c>
      <c r="T89" t="b">
        <f t="shared" si="18"/>
        <v>1</v>
      </c>
      <c r="U89" s="12">
        <f t="shared" si="19"/>
        <v>47102352.172557011</v>
      </c>
      <c r="V89" s="12">
        <f>IF($T89=TRUE, $Q89*$C$8, $K89)</f>
        <v>23551176.086278506</v>
      </c>
      <c r="W89" s="12">
        <f>IF($T89=TRUE, $Q89*$C$9, $L89)</f>
        <v>7850392.0287595019</v>
      </c>
      <c r="X89" s="12">
        <f>IF($T89=TRUE, $Q89*$C$10, $M89)</f>
        <v>31401568.115038007</v>
      </c>
      <c r="Y89" s="12">
        <f>IF($T89=TRUE, $Q89*$C$11, $N89)</f>
        <v>15700784.057519004</v>
      </c>
      <c r="Z89" s="12">
        <f>IF($T89=TRUE, $Q89*$C$12, $O89)</f>
        <v>15700784.057519004</v>
      </c>
      <c r="AA89" s="12">
        <f>IF($T89=TRUE, $Q89*$C$13, $P89)</f>
        <v>15700784.057519004</v>
      </c>
      <c r="AB89" s="12">
        <f>U89-(1-$B$3)</f>
        <v>47102351.176098675</v>
      </c>
      <c r="AC89" s="12">
        <f t="shared" si="13"/>
        <v>23467765.670972936</v>
      </c>
      <c r="AD89" s="12">
        <f t="shared" si="13"/>
        <v>7822588.5569909783</v>
      </c>
      <c r="AE89" s="12">
        <f t="shared" si="13"/>
        <v>31290354.227963913</v>
      </c>
      <c r="AF89" s="12">
        <f t="shared" si="12"/>
        <v>15645177.113981957</v>
      </c>
      <c r="AG89" s="12">
        <f t="shared" si="12"/>
        <v>15645177.113981957</v>
      </c>
      <c r="AH89" s="12">
        <f t="shared" si="12"/>
        <v>15645177.113981957</v>
      </c>
      <c r="AI89" s="12">
        <f t="shared" si="20"/>
        <v>156618590.97397238</v>
      </c>
    </row>
    <row r="90" spans="1:35" x14ac:dyDescent="0.2">
      <c r="A90" s="1">
        <f>Returns!A77</f>
        <v>44712</v>
      </c>
      <c r="B90" s="20">
        <f t="shared" si="21"/>
        <v>156451771.13981956</v>
      </c>
      <c r="C90" s="18">
        <f t="shared" si="22"/>
        <v>0.42514075036526461</v>
      </c>
      <c r="D90" s="18">
        <f t="shared" si="14"/>
        <v>0.13644889885204164</v>
      </c>
      <c r="E90" s="18">
        <f t="shared" si="14"/>
        <v>4.4361001867067762E-2</v>
      </c>
      <c r="F90" s="18">
        <f t="shared" si="14"/>
        <v>0.12953590308511476</v>
      </c>
      <c r="G90" s="18">
        <f t="shared" si="14"/>
        <v>7.1210634461553152E-2</v>
      </c>
      <c r="H90" s="18">
        <f t="shared" si="14"/>
        <v>9.4635591633825261E-2</v>
      </c>
      <c r="I90" s="18">
        <f t="shared" si="14"/>
        <v>9.8667219735132788E-2</v>
      </c>
      <c r="J90" s="12">
        <f>J89*(1+Returns!B77)</f>
        <v>67134363.852556497</v>
      </c>
      <c r="K90" s="12">
        <f>K89*(1+Returns!C77)</f>
        <v>21546770.134228181</v>
      </c>
      <c r="L90" s="12">
        <f>L89*(1+Returns!D77)</f>
        <v>7005086.2864803122</v>
      </c>
      <c r="M90" s="12">
        <f>M89*(1+Returns!E77)</f>
        <v>20455132.664215446</v>
      </c>
      <c r="N90" s="12">
        <f>N89*(1+Returns!F77)</f>
        <v>11244936.27111946</v>
      </c>
      <c r="O90" s="12">
        <f>O89*(1+Returns!G77)</f>
        <v>14943992.634647854</v>
      </c>
      <c r="P90" s="12">
        <f>P89*(1+Returns!H77)</f>
        <v>15580630.707189312</v>
      </c>
      <c r="Q90" s="12">
        <f t="shared" si="15"/>
        <v>157910912.55043706</v>
      </c>
      <c r="R90" s="12">
        <f t="shared" si="16"/>
        <v>559267.81528279802</v>
      </c>
      <c r="S90" s="12">
        <f t="shared" si="17"/>
        <v>157351644.73515427</v>
      </c>
      <c r="T90" t="b">
        <f t="shared" si="18"/>
        <v>1</v>
      </c>
      <c r="U90" s="12">
        <f t="shared" si="19"/>
        <v>47373273.765131116</v>
      </c>
      <c r="V90" s="12">
        <f>IF($T90=TRUE, $Q90*$C$8, $K90)</f>
        <v>23686636.882565558</v>
      </c>
      <c r="W90" s="12">
        <f>IF($T90=TRUE, $Q90*$C$9, $L90)</f>
        <v>7895545.6275218539</v>
      </c>
      <c r="X90" s="12">
        <f>IF($T90=TRUE, $Q90*$C$10, $M90)</f>
        <v>31582182.510087416</v>
      </c>
      <c r="Y90" s="12">
        <f>IF($T90=TRUE, $Q90*$C$11, $N90)</f>
        <v>15791091.255043708</v>
      </c>
      <c r="Z90" s="12">
        <f>IF($T90=TRUE, $Q90*$C$12, $O90)</f>
        <v>15791091.255043708</v>
      </c>
      <c r="AA90" s="12">
        <f>IF($T90=TRUE, $Q90*$C$13, $P90)</f>
        <v>15791091.255043708</v>
      </c>
      <c r="AB90" s="12">
        <f>U90-(1-$B$3)</f>
        <v>47373272.768672779</v>
      </c>
      <c r="AC90" s="12">
        <f t="shared" si="13"/>
        <v>23602746.710273139</v>
      </c>
      <c r="AD90" s="12">
        <f t="shared" si="13"/>
        <v>7867582.2367577143</v>
      </c>
      <c r="AE90" s="12">
        <f t="shared" si="13"/>
        <v>31470328.947030857</v>
      </c>
      <c r="AF90" s="12">
        <f t="shared" si="12"/>
        <v>15735164.473515429</v>
      </c>
      <c r="AG90" s="12">
        <f t="shared" si="12"/>
        <v>15735164.473515429</v>
      </c>
      <c r="AH90" s="12">
        <f t="shared" si="12"/>
        <v>15735164.473515429</v>
      </c>
      <c r="AI90" s="12">
        <f t="shared" si="20"/>
        <v>157519424.08328074</v>
      </c>
    </row>
    <row r="91" spans="1:35" x14ac:dyDescent="0.2">
      <c r="A91" s="1">
        <f>Returns!A78</f>
        <v>44742</v>
      </c>
      <c r="B91" s="20">
        <f t="shared" si="21"/>
        <v>157351644.73515427</v>
      </c>
      <c r="C91" s="18">
        <f t="shared" si="22"/>
        <v>0.41834181000348275</v>
      </c>
      <c r="D91" s="18">
        <f t="shared" si="14"/>
        <v>0.13351409426493463</v>
      </c>
      <c r="E91" s="18">
        <f t="shared" si="14"/>
        <v>4.5118734105123459E-2</v>
      </c>
      <c r="F91" s="18">
        <f t="shared" si="14"/>
        <v>0.13755643172407137</v>
      </c>
      <c r="G91" s="18">
        <f t="shared" si="14"/>
        <v>7.3430172983649858E-2</v>
      </c>
      <c r="H91" s="18">
        <f t="shared" si="14"/>
        <v>9.3925437574848308E-2</v>
      </c>
      <c r="I91" s="18">
        <f t="shared" si="14"/>
        <v>9.811331934388956E-2</v>
      </c>
      <c r="J91" s="12">
        <f>J90*(1+Returns!B78)</f>
        <v>61598437.234584689</v>
      </c>
      <c r="K91" s="12">
        <f>K90*(1+Returns!C78)</f>
        <v>19659186.241610732</v>
      </c>
      <c r="L91" s="12">
        <f>L90*(1+Returns!D78)</f>
        <v>6643475.369710776</v>
      </c>
      <c r="M91" s="12">
        <f>M90*(1+Returns!E78)</f>
        <v>20254397.29702872</v>
      </c>
      <c r="N91" s="12">
        <f>N90*(1+Returns!F78)</f>
        <v>10812172.710206509</v>
      </c>
      <c r="O91" s="12">
        <f>O90*(1+Returns!G78)</f>
        <v>13829983.121067984</v>
      </c>
      <c r="P91" s="12">
        <f>P90*(1+Returns!H78)</f>
        <v>14446624.743128188</v>
      </c>
      <c r="Q91" s="12">
        <f t="shared" si="15"/>
        <v>147244276.71733761</v>
      </c>
      <c r="R91" s="12">
        <f t="shared" si="16"/>
        <v>521490.14670723741</v>
      </c>
      <c r="S91" s="12">
        <f t="shared" si="17"/>
        <v>146722786.57063037</v>
      </c>
      <c r="T91" t="b">
        <f t="shared" si="18"/>
        <v>1</v>
      </c>
      <c r="U91" s="12">
        <f t="shared" si="19"/>
        <v>44173283.015201278</v>
      </c>
      <c r="V91" s="12">
        <f>IF($T91=TRUE, $Q91*$C$8, $K91)</f>
        <v>22086641.507600639</v>
      </c>
      <c r="W91" s="12">
        <f>IF($T91=TRUE, $Q91*$C$9, $L91)</f>
        <v>7362213.8358668806</v>
      </c>
      <c r="X91" s="12">
        <f>IF($T91=TRUE, $Q91*$C$10, $M91)</f>
        <v>29448855.343467522</v>
      </c>
      <c r="Y91" s="12">
        <f>IF($T91=TRUE, $Q91*$C$11, $N91)</f>
        <v>14724427.671733761</v>
      </c>
      <c r="Z91" s="12">
        <f>IF($T91=TRUE, $Q91*$C$12, $O91)</f>
        <v>14724427.671733761</v>
      </c>
      <c r="AA91" s="12">
        <f>IF($T91=TRUE, $Q91*$C$13, $P91)</f>
        <v>14724427.671733761</v>
      </c>
      <c r="AB91" s="12">
        <f>U91-(1-$B$3)</f>
        <v>44173282.018742941</v>
      </c>
      <c r="AC91" s="12">
        <f t="shared" si="13"/>
        <v>22008417.985594552</v>
      </c>
      <c r="AD91" s="12">
        <f t="shared" si="13"/>
        <v>7336139.3285315186</v>
      </c>
      <c r="AE91" s="12">
        <f t="shared" si="13"/>
        <v>29344557.314126074</v>
      </c>
      <c r="AF91" s="12">
        <f t="shared" si="12"/>
        <v>14672278.657063037</v>
      </c>
      <c r="AG91" s="12">
        <f t="shared" si="12"/>
        <v>14672278.657063037</v>
      </c>
      <c r="AH91" s="12">
        <f t="shared" si="12"/>
        <v>14672278.657063037</v>
      </c>
      <c r="AI91" s="12">
        <f t="shared" si="20"/>
        <v>146879232.61818421</v>
      </c>
    </row>
    <row r="92" spans="1:35" x14ac:dyDescent="0.2">
      <c r="A92" s="1">
        <f>Returns!A79</f>
        <v>44773</v>
      </c>
      <c r="B92" s="20">
        <f t="shared" si="21"/>
        <v>146722786.57063037</v>
      </c>
      <c r="C92" s="18">
        <f t="shared" si="22"/>
        <v>0.42949588671317279</v>
      </c>
      <c r="D92" s="18">
        <f t="shared" si="14"/>
        <v>0.13200442582345262</v>
      </c>
      <c r="E92" s="18">
        <f t="shared" si="14"/>
        <v>4.2268007620806569E-2</v>
      </c>
      <c r="F92" s="18">
        <f t="shared" si="14"/>
        <v>0.13294603585707529</v>
      </c>
      <c r="G92" s="18">
        <f t="shared" si="14"/>
        <v>7.1902030193376779E-2</v>
      </c>
      <c r="H92" s="18">
        <f t="shared" si="14"/>
        <v>9.591154703329742E-2</v>
      </c>
      <c r="I92" s="18">
        <f t="shared" si="14"/>
        <v>9.5472066758818322E-2</v>
      </c>
      <c r="J92" s="12">
        <f>J91*(1+Returns!B79)</f>
        <v>67270256.497367084</v>
      </c>
      <c r="K92" s="12">
        <f>K91*(1+Returns!C79)</f>
        <v>20675335.570469793</v>
      </c>
      <c r="L92" s="12">
        <f>L91*(1+Returns!D79)</f>
        <v>6620272.2825683281</v>
      </c>
      <c r="M92" s="12">
        <f>M91*(1+Returns!E79)</f>
        <v>20822816.257577263</v>
      </c>
      <c r="N92" s="12">
        <f>N91*(1+Returns!F79)</f>
        <v>11261733.030332979</v>
      </c>
      <c r="O92" s="12">
        <f>O91*(1+Returns!G79)</f>
        <v>15022249.501304291</v>
      </c>
      <c r="P92" s="12">
        <f>P91*(1+Returns!H79)</f>
        <v>14953415.429304237</v>
      </c>
      <c r="Q92" s="12">
        <f t="shared" si="15"/>
        <v>156626078.56892401</v>
      </c>
      <c r="R92" s="12">
        <f t="shared" si="16"/>
        <v>554717.36159827258</v>
      </c>
      <c r="S92" s="12">
        <f t="shared" si="17"/>
        <v>156071361.20732573</v>
      </c>
      <c r="T92" t="b">
        <f t="shared" si="18"/>
        <v>1</v>
      </c>
      <c r="U92" s="12">
        <f t="shared" si="19"/>
        <v>46987823.570677198</v>
      </c>
      <c r="V92" s="12">
        <f>IF($T92=TRUE, $Q92*$C$8, $K92)</f>
        <v>23493911.785338599</v>
      </c>
      <c r="W92" s="12">
        <f>IF($T92=TRUE, $Q92*$C$9, $L92)</f>
        <v>7831303.9284462007</v>
      </c>
      <c r="X92" s="12">
        <f>IF($T92=TRUE, $Q92*$C$10, $M92)</f>
        <v>31325215.713784803</v>
      </c>
      <c r="Y92" s="12">
        <f>IF($T92=TRUE, $Q92*$C$11, $N92)</f>
        <v>15662607.856892401</v>
      </c>
      <c r="Z92" s="12">
        <f>IF($T92=TRUE, $Q92*$C$12, $O92)</f>
        <v>15662607.856892401</v>
      </c>
      <c r="AA92" s="12">
        <f>IF($T92=TRUE, $Q92*$C$13, $P92)</f>
        <v>15662607.856892401</v>
      </c>
      <c r="AB92" s="12">
        <f>U92-(1-$B$3)</f>
        <v>46987822.574218862</v>
      </c>
      <c r="AC92" s="12">
        <f t="shared" si="13"/>
        <v>23410704.18109886</v>
      </c>
      <c r="AD92" s="12">
        <f t="shared" si="13"/>
        <v>7803568.0603662869</v>
      </c>
      <c r="AE92" s="12">
        <f t="shared" si="13"/>
        <v>31214272.241465148</v>
      </c>
      <c r="AF92" s="12">
        <f t="shared" si="12"/>
        <v>15607136.120732574</v>
      </c>
      <c r="AG92" s="12">
        <f t="shared" si="12"/>
        <v>15607136.120732574</v>
      </c>
      <c r="AH92" s="12">
        <f t="shared" si="12"/>
        <v>15607136.120732574</v>
      </c>
      <c r="AI92" s="12">
        <f t="shared" si="20"/>
        <v>156237775.41934687</v>
      </c>
    </row>
    <row r="93" spans="1:35" x14ac:dyDescent="0.2">
      <c r="A93" s="1">
        <f>Returns!A80</f>
        <v>44804</v>
      </c>
      <c r="B93" s="20">
        <f t="shared" si="21"/>
        <v>156071361.20732573</v>
      </c>
      <c r="C93" s="18">
        <f t="shared" si="22"/>
        <v>0.43018525234369626</v>
      </c>
      <c r="D93" s="18">
        <f t="shared" si="14"/>
        <v>0.12940609535267994</v>
      </c>
      <c r="E93" s="18">
        <f t="shared" si="14"/>
        <v>4.3550348990708275E-2</v>
      </c>
      <c r="F93" s="18">
        <f t="shared" si="14"/>
        <v>0.13346761925184394</v>
      </c>
      <c r="G93" s="18">
        <f t="shared" si="14"/>
        <v>7.1759351108394001E-2</v>
      </c>
      <c r="H93" s="18">
        <f t="shared" si="14"/>
        <v>9.4124323221064329E-2</v>
      </c>
      <c r="I93" s="18">
        <f t="shared" si="14"/>
        <v>9.7507009731613165E-2</v>
      </c>
      <c r="J93" s="12">
        <f>J92*(1+Returns!B80)</f>
        <v>64526923.730253108</v>
      </c>
      <c r="K93" s="12">
        <f>K92*(1+Returns!C80)</f>
        <v>19410654.362416103</v>
      </c>
      <c r="L93" s="12">
        <f>L92*(1+Returns!D80)</f>
        <v>6532464.8681916101</v>
      </c>
      <c r="M93" s="12">
        <f>M92*(1+Returns!E80)</f>
        <v>20019874.78883037</v>
      </c>
      <c r="N93" s="12">
        <f>N92*(1+Returns!F80)</f>
        <v>10763758.521885196</v>
      </c>
      <c r="O93" s="12">
        <f>O92*(1+Returns!G80)</f>
        <v>14118459.413840733</v>
      </c>
      <c r="P93" s="12">
        <f>P92*(1+Returns!H80)</f>
        <v>14625855.595556304</v>
      </c>
      <c r="Q93" s="12">
        <f t="shared" si="15"/>
        <v>149997991.28097343</v>
      </c>
      <c r="R93" s="12">
        <f t="shared" si="16"/>
        <v>531242.88578678097</v>
      </c>
      <c r="S93" s="12">
        <f t="shared" si="17"/>
        <v>149466748.39518666</v>
      </c>
      <c r="T93" t="b">
        <f t="shared" si="18"/>
        <v>1</v>
      </c>
      <c r="U93" s="12">
        <f t="shared" si="19"/>
        <v>44999397.384292029</v>
      </c>
      <c r="V93" s="12">
        <f>IF($T93=TRUE, $Q93*$C$8, $K93)</f>
        <v>22499698.692146014</v>
      </c>
      <c r="W93" s="12">
        <f>IF($T93=TRUE, $Q93*$C$9, $L93)</f>
        <v>7499899.5640486721</v>
      </c>
      <c r="X93" s="12">
        <f>IF($T93=TRUE, $Q93*$C$10, $M93)</f>
        <v>29999598.256194688</v>
      </c>
      <c r="Y93" s="12">
        <f>IF($T93=TRUE, $Q93*$C$11, $N93)</f>
        <v>14999799.128097344</v>
      </c>
      <c r="Z93" s="12">
        <f>IF($T93=TRUE, $Q93*$C$12, $O93)</f>
        <v>14999799.128097344</v>
      </c>
      <c r="AA93" s="12">
        <f>IF($T93=TRUE, $Q93*$C$13, $P93)</f>
        <v>14999799.128097344</v>
      </c>
      <c r="AB93" s="12">
        <f>U93-(1-$B$3)</f>
        <v>44999396.387833692</v>
      </c>
      <c r="AC93" s="12">
        <f t="shared" si="13"/>
        <v>22420012.259277996</v>
      </c>
      <c r="AD93" s="12">
        <f t="shared" si="13"/>
        <v>7473337.4197593331</v>
      </c>
      <c r="AE93" s="12">
        <f t="shared" si="13"/>
        <v>29893349.679037333</v>
      </c>
      <c r="AF93" s="12">
        <f t="shared" si="12"/>
        <v>14946674.839518666</v>
      </c>
      <c r="AG93" s="12">
        <f t="shared" si="12"/>
        <v>14946674.839518666</v>
      </c>
      <c r="AH93" s="12">
        <f t="shared" si="12"/>
        <v>14946674.839518666</v>
      </c>
      <c r="AI93" s="12">
        <f t="shared" si="20"/>
        <v>149626120.26446435</v>
      </c>
    </row>
    <row r="94" spans="1:35" x14ac:dyDescent="0.2">
      <c r="A94" s="1">
        <f>Returns!A81</f>
        <v>44834</v>
      </c>
      <c r="B94" s="20">
        <f t="shared" si="21"/>
        <v>149466748.39518666</v>
      </c>
      <c r="C94" s="18">
        <f t="shared" si="22"/>
        <v>0.42959172536935247</v>
      </c>
      <c r="D94" s="18">
        <f t="shared" si="14"/>
        <v>0.12926062560303914</v>
      </c>
      <c r="E94" s="18">
        <f t="shared" si="14"/>
        <v>4.2390825283224215E-2</v>
      </c>
      <c r="F94" s="18">
        <f t="shared" si="14"/>
        <v>0.13965881886168935</v>
      </c>
      <c r="G94" s="18">
        <f t="shared" si="14"/>
        <v>7.4031763911250117E-2</v>
      </c>
      <c r="H94" s="18">
        <f t="shared" si="14"/>
        <v>9.0242232573538181E-2</v>
      </c>
      <c r="I94" s="18">
        <f t="shared" si="14"/>
        <v>9.4824008397906306E-2</v>
      </c>
      <c r="J94" s="12">
        <f>J93*(1+Returns!B81)</f>
        <v>58561236.623067781</v>
      </c>
      <c r="K94" s="12">
        <f>K93*(1+Returns!C81)</f>
        <v>17620595.637583889</v>
      </c>
      <c r="L94" s="12">
        <f>L93*(1+Returns!D81)</f>
        <v>5778647.5005394015</v>
      </c>
      <c r="M94" s="12">
        <f>M93*(1+Returns!E81)</f>
        <v>19038060.220610157</v>
      </c>
      <c r="N94" s="12">
        <f>N93*(1+Returns!F81)</f>
        <v>10091888.153344538</v>
      </c>
      <c r="O94" s="12">
        <f>O93*(1+Returns!G81)</f>
        <v>12301672.548718743</v>
      </c>
      <c r="P94" s="12">
        <f>P93*(1+Returns!H81)</f>
        <v>12926252.684600046</v>
      </c>
      <c r="Q94" s="12">
        <f t="shared" si="15"/>
        <v>136318353.36846459</v>
      </c>
      <c r="R94" s="12">
        <f t="shared" si="16"/>
        <v>482794.16817997879</v>
      </c>
      <c r="S94" s="12">
        <f t="shared" si="17"/>
        <v>135835559.2002846</v>
      </c>
      <c r="T94" t="b">
        <f t="shared" si="18"/>
        <v>1</v>
      </c>
      <c r="U94" s="12">
        <f t="shared" si="19"/>
        <v>40895506.010539375</v>
      </c>
      <c r="V94" s="12">
        <f>IF($T94=TRUE, $Q94*$C$8, $K94)</f>
        <v>20447753.005269688</v>
      </c>
      <c r="W94" s="12">
        <f>IF($T94=TRUE, $Q94*$C$9, $L94)</f>
        <v>6815917.6684232298</v>
      </c>
      <c r="X94" s="12">
        <f>IF($T94=TRUE, $Q94*$C$10, $M94)</f>
        <v>27263670.673692919</v>
      </c>
      <c r="Y94" s="12">
        <f>IF($T94=TRUE, $Q94*$C$11, $N94)</f>
        <v>13631835.33684646</v>
      </c>
      <c r="Z94" s="12">
        <f>IF($T94=TRUE, $Q94*$C$12, $O94)</f>
        <v>13631835.33684646</v>
      </c>
      <c r="AA94" s="12">
        <f>IF($T94=TRUE, $Q94*$C$13, $P94)</f>
        <v>13631835.33684646</v>
      </c>
      <c r="AB94" s="12">
        <f>U94-(1-$B$3)</f>
        <v>40895505.014081039</v>
      </c>
      <c r="AC94" s="12">
        <f t="shared" si="13"/>
        <v>20375333.880042691</v>
      </c>
      <c r="AD94" s="12">
        <f t="shared" si="13"/>
        <v>6791777.9600142306</v>
      </c>
      <c r="AE94" s="12">
        <f t="shared" si="13"/>
        <v>27167111.840056922</v>
      </c>
      <c r="AF94" s="12">
        <f t="shared" si="12"/>
        <v>13583555.920028461</v>
      </c>
      <c r="AG94" s="12">
        <f t="shared" si="12"/>
        <v>13583555.920028461</v>
      </c>
      <c r="AH94" s="12">
        <f t="shared" si="12"/>
        <v>13583555.920028461</v>
      </c>
      <c r="AI94" s="12">
        <f t="shared" si="20"/>
        <v>135980396.45428026</v>
      </c>
    </row>
    <row r="95" spans="1:35" x14ac:dyDescent="0.2">
      <c r="A95" s="1">
        <f>Returns!A82</f>
        <v>44865</v>
      </c>
      <c r="B95" s="20">
        <f t="shared" si="21"/>
        <v>135835559.2002846</v>
      </c>
      <c r="C95" s="18">
        <f t="shared" si="22"/>
        <v>0.44372640082247178</v>
      </c>
      <c r="D95" s="18">
        <f t="shared" si="14"/>
        <v>0.13075288724772732</v>
      </c>
      <c r="E95" s="18">
        <f t="shared" si="14"/>
        <v>3.9693270794541172E-2</v>
      </c>
      <c r="F95" s="18">
        <f t="shared" si="14"/>
        <v>0.13121028475983046</v>
      </c>
      <c r="G95" s="18">
        <f t="shared" si="14"/>
        <v>6.9958141564648274E-2</v>
      </c>
      <c r="H95" s="18">
        <f t="shared" si="14"/>
        <v>8.9226541721773023E-2</v>
      </c>
      <c r="I95" s="18">
        <f t="shared" si="14"/>
        <v>9.5432473089007958E-2</v>
      </c>
      <c r="J95" s="12">
        <f>J94*(1+Returns!B82)</f>
        <v>63320876.507559031</v>
      </c>
      <c r="K95" s="12">
        <f>K94*(1+Returns!C82)</f>
        <v>18658766.778523486</v>
      </c>
      <c r="L95" s="12">
        <f>L94*(1+Returns!D82)</f>
        <v>5664329.8516912442</v>
      </c>
      <c r="M95" s="12">
        <f>M94*(1+Returns!E82)</f>
        <v>18724038.557090327</v>
      </c>
      <c r="N95" s="12">
        <f>N94*(1+Returns!F82)</f>
        <v>9983203.240786491</v>
      </c>
      <c r="O95" s="12">
        <f>O94*(1+Returns!G82)</f>
        <v>12732852.539512053</v>
      </c>
      <c r="P95" s="12">
        <f>P94*(1+Returns!H82)</f>
        <v>13618454.597425867</v>
      </c>
      <c r="Q95" s="12">
        <f t="shared" si="15"/>
        <v>142702522.0725885</v>
      </c>
      <c r="R95" s="12">
        <f t="shared" si="16"/>
        <v>505404.76567375101</v>
      </c>
      <c r="S95" s="12">
        <f t="shared" si="17"/>
        <v>142197117.30691475</v>
      </c>
      <c r="T95" t="b">
        <f t="shared" si="18"/>
        <v>1</v>
      </c>
      <c r="U95" s="12">
        <f t="shared" si="19"/>
        <v>42810756.621776551</v>
      </c>
      <c r="V95" s="12">
        <f>IF($T95=TRUE, $Q95*$C$8, $K95)</f>
        <v>21405378.310888276</v>
      </c>
      <c r="W95" s="12">
        <f>IF($T95=TRUE, $Q95*$C$9, $L95)</f>
        <v>7135126.1036294252</v>
      </c>
      <c r="X95" s="12">
        <f>IF($T95=TRUE, $Q95*$C$10, $M95)</f>
        <v>28540504.414517701</v>
      </c>
      <c r="Y95" s="12">
        <f>IF($T95=TRUE, $Q95*$C$11, $N95)</f>
        <v>14270252.20725885</v>
      </c>
      <c r="Z95" s="12">
        <f>IF($T95=TRUE, $Q95*$C$12, $O95)</f>
        <v>14270252.20725885</v>
      </c>
      <c r="AA95" s="12">
        <f>IF($T95=TRUE, $Q95*$C$13, $P95)</f>
        <v>14270252.20725885</v>
      </c>
      <c r="AB95" s="12">
        <f>U95-(1-$B$3)</f>
        <v>42810755.625318214</v>
      </c>
      <c r="AC95" s="12">
        <f t="shared" si="13"/>
        <v>21329567.596037213</v>
      </c>
      <c r="AD95" s="12">
        <f t="shared" si="13"/>
        <v>7109855.8653457379</v>
      </c>
      <c r="AE95" s="12">
        <f t="shared" si="13"/>
        <v>28439423.461382952</v>
      </c>
      <c r="AF95" s="12">
        <f t="shared" si="12"/>
        <v>14219711.730691476</v>
      </c>
      <c r="AG95" s="12">
        <f t="shared" si="12"/>
        <v>14219711.730691476</v>
      </c>
      <c r="AH95" s="12">
        <f t="shared" si="12"/>
        <v>14219711.730691476</v>
      </c>
      <c r="AI95" s="12">
        <f t="shared" si="20"/>
        <v>142348737.74015853</v>
      </c>
    </row>
    <row r="96" spans="1:35" x14ac:dyDescent="0.2">
      <c r="A96" s="1">
        <f>Returns!A83</f>
        <v>44895</v>
      </c>
      <c r="B96" s="20">
        <f t="shared" si="21"/>
        <v>142197117.30691475</v>
      </c>
      <c r="C96" s="18">
        <f t="shared" si="22"/>
        <v>0.4372405533731164</v>
      </c>
      <c r="D96" s="18">
        <f t="shared" si="14"/>
        <v>0.13812640051870301</v>
      </c>
      <c r="E96" s="18">
        <f t="shared" si="14"/>
        <v>4.2829009207957625E-2</v>
      </c>
      <c r="F96" s="18">
        <f t="shared" si="14"/>
        <v>0.1269014458172131</v>
      </c>
      <c r="G96" s="18">
        <f t="shared" si="14"/>
        <v>6.9647237031503134E-2</v>
      </c>
      <c r="H96" s="18">
        <f t="shared" si="14"/>
        <v>8.8409578361774543E-2</v>
      </c>
      <c r="I96" s="18">
        <f t="shared" si="14"/>
        <v>9.6845775689732003E-2</v>
      </c>
      <c r="J96" s="12">
        <f>J95*(1+Returns!B83)</f>
        <v>66842194.666213691</v>
      </c>
      <c r="K96" s="12">
        <f>K95*(1+Returns!C83)</f>
        <v>21115771.812080536</v>
      </c>
      <c r="L96" s="12">
        <f>L95*(1+Returns!D83)</f>
        <v>6547391.244371661</v>
      </c>
      <c r="M96" s="12">
        <f>M95*(1+Returns!E83)</f>
        <v>19399781.377322864</v>
      </c>
      <c r="N96" s="12">
        <f>N95*(1+Returns!F83)</f>
        <v>10647169.2520502</v>
      </c>
      <c r="O96" s="12">
        <f>O95*(1+Returns!G83)</f>
        <v>13515421.206076423</v>
      </c>
      <c r="P96" s="12">
        <f>P95*(1+Returns!H83)</f>
        <v>14805086.447984416</v>
      </c>
      <c r="Q96" s="12">
        <f t="shared" si="15"/>
        <v>152872816.00609982</v>
      </c>
      <c r="R96" s="12">
        <f t="shared" si="16"/>
        <v>541424.55668827018</v>
      </c>
      <c r="S96" s="12">
        <f t="shared" si="17"/>
        <v>152331391.44941154</v>
      </c>
      <c r="T96" t="b">
        <f t="shared" si="18"/>
        <v>1</v>
      </c>
      <c r="U96" s="12">
        <f t="shared" si="19"/>
        <v>45861844.801829942</v>
      </c>
      <c r="V96" s="12">
        <f>IF($T96=TRUE, $Q96*$C$8, $K96)</f>
        <v>22930922.400914971</v>
      </c>
      <c r="W96" s="12">
        <f>IF($T96=TRUE, $Q96*$C$9, $L96)</f>
        <v>7643640.8003049912</v>
      </c>
      <c r="X96" s="12">
        <f>IF($T96=TRUE, $Q96*$C$10, $M96)</f>
        <v>30574563.201219965</v>
      </c>
      <c r="Y96" s="12">
        <f>IF($T96=TRUE, $Q96*$C$11, $N96)</f>
        <v>15287281.600609982</v>
      </c>
      <c r="Z96" s="12">
        <f>IF($T96=TRUE, $Q96*$C$12, $O96)</f>
        <v>15287281.600609982</v>
      </c>
      <c r="AA96" s="12">
        <f>IF($T96=TRUE, $Q96*$C$13, $P96)</f>
        <v>15287281.600609982</v>
      </c>
      <c r="AB96" s="12">
        <f>U96-(1-$B$3)</f>
        <v>45861843.805371605</v>
      </c>
      <c r="AC96" s="12">
        <f t="shared" si="13"/>
        <v>22849708.71741173</v>
      </c>
      <c r="AD96" s="12">
        <f t="shared" si="13"/>
        <v>7616569.5724705774</v>
      </c>
      <c r="AE96" s="12">
        <f t="shared" si="13"/>
        <v>30466278.28988231</v>
      </c>
      <c r="AF96" s="12">
        <f t="shared" si="12"/>
        <v>15233139.144941155</v>
      </c>
      <c r="AG96" s="12">
        <f t="shared" si="12"/>
        <v>15233139.144941155</v>
      </c>
      <c r="AH96" s="12">
        <f t="shared" si="12"/>
        <v>15233139.144941155</v>
      </c>
      <c r="AI96" s="12">
        <f t="shared" si="20"/>
        <v>152493817.81995967</v>
      </c>
    </row>
    <row r="97" spans="1:35" x14ac:dyDescent="0.2">
      <c r="A97" s="1">
        <f>Returns!A84</f>
        <v>44926</v>
      </c>
      <c r="B97" s="20">
        <f t="shared" si="21"/>
        <v>152331391.44941154</v>
      </c>
      <c r="C97" s="18">
        <f t="shared" si="22"/>
        <v>0.43058317895978288</v>
      </c>
      <c r="D97" s="18">
        <f t="shared" si="14"/>
        <v>0.14115996133819878</v>
      </c>
      <c r="E97" s="18">
        <f t="shared" si="14"/>
        <v>4.3576358604790102E-2</v>
      </c>
      <c r="F97" s="18">
        <f t="shared" si="14"/>
        <v>0.13012636605183753</v>
      </c>
      <c r="G97" s="18">
        <f t="shared" si="14"/>
        <v>7.1207990107722066E-2</v>
      </c>
      <c r="H97" s="18">
        <f t="shared" si="14"/>
        <v>8.6514495048327159E-2</v>
      </c>
      <c r="I97" s="18">
        <f t="shared" si="14"/>
        <v>9.6831649889341453E-2</v>
      </c>
      <c r="J97" s="12">
        <f>J96*(1+Returns!B84)</f>
        <v>62989638.185833186</v>
      </c>
      <c r="K97" s="12">
        <f>K96*(1+Returns!C84)</f>
        <v>20650167.785234898</v>
      </c>
      <c r="L97" s="12">
        <f>L96*(1+Returns!D84)</f>
        <v>6374747.542630367</v>
      </c>
      <c r="M97" s="12">
        <f>M96*(1+Returns!E84)</f>
        <v>19036072.741727117</v>
      </c>
      <c r="N97" s="12">
        <f>N96*(1+Returns!F84)</f>
        <v>10416954.846359063</v>
      </c>
      <c r="O97" s="12">
        <f>O96*(1+Returns!G84)</f>
        <v>12656130.121221429</v>
      </c>
      <c r="P97" s="12">
        <f>P96*(1+Returns!H84)</f>
        <v>14165417.716042699</v>
      </c>
      <c r="Q97" s="12">
        <f t="shared" si="15"/>
        <v>146289128.93904877</v>
      </c>
      <c r="R97" s="12">
        <f t="shared" si="16"/>
        <v>518107.3316591311</v>
      </c>
      <c r="S97" s="12">
        <f t="shared" si="17"/>
        <v>145771021.60738963</v>
      </c>
      <c r="T97" t="b">
        <f t="shared" si="18"/>
        <v>1</v>
      </c>
      <c r="U97" s="12">
        <f t="shared" si="19"/>
        <v>43886738.681714632</v>
      </c>
      <c r="V97" s="12">
        <f>IF($T97=TRUE, $Q97*$C$8, $K97)</f>
        <v>21943369.340857316</v>
      </c>
      <c r="W97" s="12">
        <f>IF($T97=TRUE, $Q97*$C$9, $L97)</f>
        <v>7314456.4469524389</v>
      </c>
      <c r="X97" s="12">
        <f>IF($T97=TRUE, $Q97*$C$10, $M97)</f>
        <v>29257825.787809756</v>
      </c>
      <c r="Y97" s="12">
        <f>IF($T97=TRUE, $Q97*$C$11, $N97)</f>
        <v>14628912.893904878</v>
      </c>
      <c r="Z97" s="12">
        <f>IF($T97=TRUE, $Q97*$C$12, $O97)</f>
        <v>14628912.893904878</v>
      </c>
      <c r="AA97" s="12">
        <f>IF($T97=TRUE, $Q97*$C$13, $P97)</f>
        <v>14628912.893904878</v>
      </c>
      <c r="AB97" s="12">
        <f>U97-(1-$B$3)</f>
        <v>43886737.685256295</v>
      </c>
      <c r="AC97" s="12">
        <f t="shared" si="13"/>
        <v>21865653.241108447</v>
      </c>
      <c r="AD97" s="12">
        <f t="shared" si="13"/>
        <v>7288551.0803694827</v>
      </c>
      <c r="AE97" s="12">
        <f t="shared" si="13"/>
        <v>29154204.321477931</v>
      </c>
      <c r="AF97" s="12">
        <f t="shared" si="12"/>
        <v>14577102.160738965</v>
      </c>
      <c r="AG97" s="12">
        <f t="shared" si="12"/>
        <v>14577102.160738965</v>
      </c>
      <c r="AH97" s="12">
        <f t="shared" si="12"/>
        <v>14577102.160738965</v>
      </c>
      <c r="AI97" s="12">
        <f t="shared" si="20"/>
        <v>145926452.81042904</v>
      </c>
    </row>
    <row r="98" spans="1:35" x14ac:dyDescent="0.2">
      <c r="A98" s="1">
        <f>Returns!A85</f>
        <v>44957</v>
      </c>
      <c r="B98" s="20">
        <f t="shared" si="21"/>
        <v>145771021.60738963</v>
      </c>
      <c r="C98" s="18">
        <f t="shared" si="22"/>
        <v>0.42924066798333765</v>
      </c>
      <c r="D98" s="18">
        <f t="shared" si="14"/>
        <v>0.14431418996762729</v>
      </c>
      <c r="E98" s="18">
        <f t="shared" si="14"/>
        <v>4.4601424031059697E-2</v>
      </c>
      <c r="F98" s="18">
        <f t="shared" si="14"/>
        <v>0.12641609133075152</v>
      </c>
      <c r="G98" s="18">
        <f t="shared" si="14"/>
        <v>7.0231995513938772E-2</v>
      </c>
      <c r="H98" s="18">
        <f t="shared" si="14"/>
        <v>8.9582733570816961E-2</v>
      </c>
      <c r="I98" s="18">
        <f t="shared" si="14"/>
        <v>9.5612897602468216E-2</v>
      </c>
      <c r="J98" s="12">
        <f>J97*(1+Returns!B85)</f>
        <v>66950908.782062158</v>
      </c>
      <c r="K98" s="12">
        <f>K97*(1+Returns!C85)</f>
        <v>22509437.919463087</v>
      </c>
      <c r="L98" s="12">
        <f>L97*(1+Returns!D85)</f>
        <v>6956717.0461338209</v>
      </c>
      <c r="M98" s="12">
        <f>M97*(1+Returns!E85)</f>
        <v>19717777.998608764</v>
      </c>
      <c r="N98" s="12">
        <f>N97*(1+Returns!F85)</f>
        <v>10954451.141191591</v>
      </c>
      <c r="O98" s="12">
        <f>O97*(1+Returns!G85)</f>
        <v>13972686.819088545</v>
      </c>
      <c r="P98" s="12">
        <f>P97*(1+Returns!H85)</f>
        <v>14913242.996863451</v>
      </c>
      <c r="Q98" s="12">
        <f t="shared" si="15"/>
        <v>155975222.7034114</v>
      </c>
      <c r="R98" s="12">
        <f t="shared" si="16"/>
        <v>552412.24707458203</v>
      </c>
      <c r="S98" s="12">
        <f t="shared" si="17"/>
        <v>155422810.45633683</v>
      </c>
      <c r="T98" t="b">
        <f t="shared" si="18"/>
        <v>1</v>
      </c>
      <c r="U98" s="12">
        <f t="shared" si="19"/>
        <v>46792566.811023422</v>
      </c>
      <c r="V98" s="12">
        <f>IF($T98=TRUE, $Q98*$C$8, $K98)</f>
        <v>23396283.405511711</v>
      </c>
      <c r="W98" s="12">
        <f>IF($T98=TRUE, $Q98*$C$9, $L98)</f>
        <v>7798761.1351705706</v>
      </c>
      <c r="X98" s="12">
        <f>IF($T98=TRUE, $Q98*$C$10, $M98)</f>
        <v>31195044.540682282</v>
      </c>
      <c r="Y98" s="12">
        <f>IF($T98=TRUE, $Q98*$C$11, $N98)</f>
        <v>15597522.270341141</v>
      </c>
      <c r="Z98" s="12">
        <f>IF($T98=TRUE, $Q98*$C$12, $O98)</f>
        <v>15597522.270341141</v>
      </c>
      <c r="AA98" s="12">
        <f>IF($T98=TRUE, $Q98*$C$13, $P98)</f>
        <v>15597522.270341141</v>
      </c>
      <c r="AB98" s="12">
        <f>U98-(1-$B$3)</f>
        <v>46792565.814565085</v>
      </c>
      <c r="AC98" s="12">
        <f t="shared" si="13"/>
        <v>23313421.568450522</v>
      </c>
      <c r="AD98" s="12">
        <f t="shared" si="13"/>
        <v>7771140.5228168415</v>
      </c>
      <c r="AE98" s="12">
        <f t="shared" si="13"/>
        <v>31084562.091267366</v>
      </c>
      <c r="AF98" s="12">
        <f t="shared" si="12"/>
        <v>15542281.045633683</v>
      </c>
      <c r="AG98" s="12">
        <f t="shared" si="12"/>
        <v>15542281.045633683</v>
      </c>
      <c r="AH98" s="12">
        <f t="shared" si="12"/>
        <v>15542281.045633683</v>
      </c>
      <c r="AI98" s="12">
        <f t="shared" si="20"/>
        <v>155588533.13400084</v>
      </c>
    </row>
    <row r="99" spans="1:35" x14ac:dyDescent="0.2">
      <c r="A99" s="1">
        <f>Returns!A86</f>
        <v>44985</v>
      </c>
      <c r="B99" s="20">
        <f t="shared" si="21"/>
        <v>155422810.45633683</v>
      </c>
      <c r="C99" s="18">
        <f t="shared" si="22"/>
        <v>0.43355204688240312</v>
      </c>
      <c r="D99" s="18">
        <f t="shared" si="14"/>
        <v>0.14492572568989492</v>
      </c>
      <c r="E99" s="18">
        <f t="shared" si="14"/>
        <v>4.2714119219157035E-2</v>
      </c>
      <c r="F99" s="18">
        <f t="shared" si="14"/>
        <v>0.12642433163674049</v>
      </c>
      <c r="G99" s="18">
        <f t="shared" si="14"/>
        <v>6.9518205536769878E-2</v>
      </c>
      <c r="H99" s="18">
        <f t="shared" si="14"/>
        <v>8.7373241347361505E-2</v>
      </c>
      <c r="I99" s="18">
        <f t="shared" si="14"/>
        <v>9.5492329687673058E-2</v>
      </c>
      <c r="J99" s="12">
        <f>J98*(1+Returns!B86)</f>
        <v>65267538.644470856</v>
      </c>
      <c r="K99" s="12">
        <f>K98*(1+Returns!C86)</f>
        <v>21817323.825503353</v>
      </c>
      <c r="L99" s="12">
        <f>L98*(1+Returns!D86)</f>
        <v>6430243.9507500324</v>
      </c>
      <c r="M99" s="12">
        <f>M98*(1+Returns!E86)</f>
        <v>19032097.783961046</v>
      </c>
      <c r="N99" s="12">
        <f>N98*(1+Returns!F86)</f>
        <v>10465369.034680376</v>
      </c>
      <c r="O99" s="12">
        <f>O98*(1+Returns!G86)</f>
        <v>13153291.391744673</v>
      </c>
      <c r="P99" s="12">
        <f>P98*(1+Returns!H86)</f>
        <v>14375550.439579109</v>
      </c>
      <c r="Q99" s="12">
        <f t="shared" si="15"/>
        <v>150541415.07068944</v>
      </c>
      <c r="R99" s="12">
        <f t="shared" si="16"/>
        <v>533167.51170869183</v>
      </c>
      <c r="S99" s="12">
        <f t="shared" si="17"/>
        <v>150008247.55898073</v>
      </c>
      <c r="T99" t="b">
        <f t="shared" si="18"/>
        <v>1</v>
      </c>
      <c r="U99" s="12">
        <f t="shared" si="19"/>
        <v>45162424.521206833</v>
      </c>
      <c r="V99" s="12">
        <f>IF($T99=TRUE, $Q99*$C$8, $K99)</f>
        <v>22581212.260603417</v>
      </c>
      <c r="W99" s="12">
        <f>IF($T99=TRUE, $Q99*$C$9, $L99)</f>
        <v>7527070.7535344725</v>
      </c>
      <c r="X99" s="12">
        <f>IF($T99=TRUE, $Q99*$C$10, $M99)</f>
        <v>30108283.01413789</v>
      </c>
      <c r="Y99" s="12">
        <f>IF($T99=TRUE, $Q99*$C$11, $N99)</f>
        <v>15054141.507068945</v>
      </c>
      <c r="Z99" s="12">
        <f>IF($T99=TRUE, $Q99*$C$12, $O99)</f>
        <v>15054141.507068945</v>
      </c>
      <c r="AA99" s="12">
        <f>IF($T99=TRUE, $Q99*$C$13, $P99)</f>
        <v>15054141.507068945</v>
      </c>
      <c r="AB99" s="12">
        <f>U99-(1-$B$3)</f>
        <v>45162423.524748497</v>
      </c>
      <c r="AC99" s="12">
        <f t="shared" si="13"/>
        <v>22501237.133847114</v>
      </c>
      <c r="AD99" s="12">
        <f t="shared" si="13"/>
        <v>7500412.3779490376</v>
      </c>
      <c r="AE99" s="12">
        <f t="shared" si="13"/>
        <v>30001649.51179615</v>
      </c>
      <c r="AF99" s="12">
        <f t="shared" si="12"/>
        <v>15000824.755898075</v>
      </c>
      <c r="AG99" s="12">
        <f t="shared" si="12"/>
        <v>15000824.755898075</v>
      </c>
      <c r="AH99" s="12">
        <f t="shared" si="12"/>
        <v>15000824.755898075</v>
      </c>
      <c r="AI99" s="12">
        <f t="shared" si="20"/>
        <v>150168196.81603503</v>
      </c>
    </row>
    <row r="100" spans="1:35" x14ac:dyDescent="0.2">
      <c r="A100" s="1">
        <f>Returns!A87</f>
        <v>45016</v>
      </c>
      <c r="B100" s="20">
        <f t="shared" si="21"/>
        <v>150008247.55898073</v>
      </c>
      <c r="C100" s="18">
        <f t="shared" si="22"/>
        <v>0.43715636400004476</v>
      </c>
      <c r="D100" s="18">
        <f t="shared" si="14"/>
        <v>0.14531379011377218</v>
      </c>
      <c r="E100" s="18">
        <f t="shared" si="14"/>
        <v>4.2865040714892125E-2</v>
      </c>
      <c r="F100" s="18">
        <f t="shared" si="14"/>
        <v>0.12722959025761787</v>
      </c>
      <c r="G100" s="18">
        <f t="shared" si="14"/>
        <v>6.9944096584090634E-2</v>
      </c>
      <c r="H100" s="18">
        <f t="shared" si="14"/>
        <v>8.2293196467683835E-2</v>
      </c>
      <c r="I100" s="18">
        <f t="shared" si="14"/>
        <v>9.5197921861898571E-2</v>
      </c>
      <c r="J100" s="12">
        <f>J99*(1+Returns!B87)</f>
        <v>67688126.380159661</v>
      </c>
      <c r="K100" s="12">
        <f>K99*(1+Returns!C87)</f>
        <v>22500000</v>
      </c>
      <c r="L100" s="12">
        <f>L99*(1+Returns!D87)</f>
        <v>6637108.6689704703</v>
      </c>
      <c r="M100" s="12">
        <f>M99*(1+Returns!E87)</f>
        <v>19699890.688661434</v>
      </c>
      <c r="N100" s="12">
        <f>N99*(1+Returns!F87)</f>
        <v>10829957.514079643</v>
      </c>
      <c r="O100" s="12">
        <f>O99*(1+Returns!G87)</f>
        <v>12742059.229706928</v>
      </c>
      <c r="P100" s="12">
        <f>P99*(1+Returns!H87)</f>
        <v>14740192.518656997</v>
      </c>
      <c r="Q100" s="12">
        <f t="shared" si="15"/>
        <v>154837335.00023514</v>
      </c>
      <c r="R100" s="12">
        <f t="shared" si="16"/>
        <v>548382.22812583286</v>
      </c>
      <c r="S100" s="12">
        <f t="shared" si="17"/>
        <v>154288952.7721093</v>
      </c>
      <c r="T100" t="b">
        <f t="shared" si="18"/>
        <v>1</v>
      </c>
      <c r="U100" s="12">
        <f t="shared" si="19"/>
        <v>46451200.500070542</v>
      </c>
      <c r="V100" s="12">
        <f>IF($T100=TRUE, $Q100*$C$8, $K100)</f>
        <v>23225600.250035271</v>
      </c>
      <c r="W100" s="12">
        <f>IF($T100=TRUE, $Q100*$C$9, $L100)</f>
        <v>7741866.750011757</v>
      </c>
      <c r="X100" s="12">
        <f>IF($T100=TRUE, $Q100*$C$10, $M100)</f>
        <v>30967467.000047028</v>
      </c>
      <c r="Y100" s="12">
        <f>IF($T100=TRUE, $Q100*$C$11, $N100)</f>
        <v>15483733.500023514</v>
      </c>
      <c r="Z100" s="12">
        <f>IF($T100=TRUE, $Q100*$C$12, $O100)</f>
        <v>15483733.500023514</v>
      </c>
      <c r="AA100" s="12">
        <f>IF($T100=TRUE, $Q100*$C$13, $P100)</f>
        <v>15483733.500023514</v>
      </c>
      <c r="AB100" s="12">
        <f>U100-(1-$B$3)</f>
        <v>46451199.503612205</v>
      </c>
      <c r="AC100" s="12">
        <f t="shared" si="13"/>
        <v>23143342.915816396</v>
      </c>
      <c r="AD100" s="12">
        <f t="shared" si="13"/>
        <v>7714447.6386054652</v>
      </c>
      <c r="AE100" s="12">
        <f t="shared" si="13"/>
        <v>30857790.554421861</v>
      </c>
      <c r="AF100" s="12">
        <f t="shared" si="12"/>
        <v>15428895.27721093</v>
      </c>
      <c r="AG100" s="12">
        <f t="shared" si="12"/>
        <v>15428895.27721093</v>
      </c>
      <c r="AH100" s="12">
        <f t="shared" si="12"/>
        <v>15428895.27721093</v>
      </c>
      <c r="AI100" s="12">
        <f t="shared" si="20"/>
        <v>154453466.4440887</v>
      </c>
    </row>
    <row r="101" spans="1:35" x14ac:dyDescent="0.2">
      <c r="A101" s="1">
        <f>Returns!A88</f>
        <v>45046</v>
      </c>
      <c r="B101" s="20">
        <f t="shared" si="21"/>
        <v>154288952.7721093</v>
      </c>
      <c r="C101" s="18">
        <f t="shared" si="22"/>
        <v>0.43771452940019356</v>
      </c>
      <c r="D101" s="18">
        <f t="shared" si="14"/>
        <v>0.1474186425317793</v>
      </c>
      <c r="E101" s="18">
        <f t="shared" si="14"/>
        <v>4.1892268240037937E-2</v>
      </c>
      <c r="F101" s="18">
        <f t="shared" si="14"/>
        <v>0.12616239487030428</v>
      </c>
      <c r="G101" s="18">
        <f t="shared" si="14"/>
        <v>6.9134429832009445E-2</v>
      </c>
      <c r="H101" s="18">
        <f t="shared" si="14"/>
        <v>8.1357737518585299E-2</v>
      </c>
      <c r="I101" s="18">
        <f t="shared" si="14"/>
        <v>9.6319997607090077E-2</v>
      </c>
      <c r="J101" s="12">
        <f>J100*(1+Returns!B88)</f>
        <v>68768472.906403914</v>
      </c>
      <c r="K101" s="12">
        <f>K100*(1+Returns!C88)</f>
        <v>23160654.362416111</v>
      </c>
      <c r="L101" s="12">
        <f>L100*(1+Returns!D88)</f>
        <v>6581612.2608508049</v>
      </c>
      <c r="M101" s="12">
        <f>M100*(1+Returns!E88)</f>
        <v>19821126.90052668</v>
      </c>
      <c r="N101" s="12">
        <f>N100*(1+Returns!F88)</f>
        <v>10861574.94318744</v>
      </c>
      <c r="O101" s="12">
        <f>O100*(1+Returns!G88)</f>
        <v>12781954.887218053</v>
      </c>
      <c r="P101" s="12">
        <f>P100*(1+Returns!H88)</f>
        <v>15132646.281732349</v>
      </c>
      <c r="Q101" s="12">
        <f t="shared" si="15"/>
        <v>157108042.54233536</v>
      </c>
      <c r="R101" s="12">
        <f t="shared" si="16"/>
        <v>556424.31733743777</v>
      </c>
      <c r="S101" s="12">
        <f t="shared" si="17"/>
        <v>156551618.22499794</v>
      </c>
      <c r="T101" t="b">
        <f t="shared" si="18"/>
        <v>1</v>
      </c>
      <c r="U101" s="12">
        <f t="shared" si="19"/>
        <v>47132412.76270061</v>
      </c>
      <c r="V101" s="12">
        <f>IF($T101=TRUE, $Q101*$C$8, $K101)</f>
        <v>23566206.381350305</v>
      </c>
      <c r="W101" s="12">
        <f>IF($T101=TRUE, $Q101*$C$9, $L101)</f>
        <v>7855402.1271167686</v>
      </c>
      <c r="X101" s="12">
        <f>IF($T101=TRUE, $Q101*$C$10, $M101)</f>
        <v>31421608.508467074</v>
      </c>
      <c r="Y101" s="12">
        <f>IF($T101=TRUE, $Q101*$C$11, $N101)</f>
        <v>15710804.254233537</v>
      </c>
      <c r="Z101" s="12">
        <f>IF($T101=TRUE, $Q101*$C$12, $O101)</f>
        <v>15710804.254233537</v>
      </c>
      <c r="AA101" s="12">
        <f>IF($T101=TRUE, $Q101*$C$13, $P101)</f>
        <v>15710804.254233537</v>
      </c>
      <c r="AB101" s="12">
        <f>U101-(1-$B$3)</f>
        <v>47132411.766242273</v>
      </c>
      <c r="AC101" s="12">
        <f t="shared" si="13"/>
        <v>23482742.733749688</v>
      </c>
      <c r="AD101" s="12">
        <f t="shared" si="13"/>
        <v>7827580.9112498965</v>
      </c>
      <c r="AE101" s="12">
        <f t="shared" si="13"/>
        <v>31310323.644999586</v>
      </c>
      <c r="AF101" s="12">
        <f t="shared" si="12"/>
        <v>15655161.822499793</v>
      </c>
      <c r="AG101" s="12">
        <f t="shared" si="12"/>
        <v>15655161.822499793</v>
      </c>
      <c r="AH101" s="12">
        <f t="shared" si="12"/>
        <v>15655161.822499793</v>
      </c>
      <c r="AI101" s="12">
        <f t="shared" si="20"/>
        <v>156718544.5237408</v>
      </c>
    </row>
    <row r="102" spans="1:35" x14ac:dyDescent="0.2">
      <c r="A102" s="1">
        <f>Returns!A89</f>
        <v>45077</v>
      </c>
      <c r="B102" s="20">
        <f t="shared" si="21"/>
        <v>156551618.22499794</v>
      </c>
      <c r="C102" s="18">
        <f t="shared" si="22"/>
        <v>0.44731012516219748</v>
      </c>
      <c r="D102" s="18">
        <f t="shared" si="14"/>
        <v>0.14394878962116614</v>
      </c>
      <c r="E102" s="18">
        <f t="shared" si="14"/>
        <v>4.1590107074483636E-2</v>
      </c>
      <c r="F102" s="18">
        <f t="shared" si="14"/>
        <v>0.12618633471500076</v>
      </c>
      <c r="G102" s="18">
        <f t="shared" si="14"/>
        <v>6.8847389348838106E-2</v>
      </c>
      <c r="H102" s="18">
        <f t="shared" si="14"/>
        <v>7.9480424844534422E-2</v>
      </c>
      <c r="I102" s="18">
        <f t="shared" si="14"/>
        <v>9.2636829233779375E-2</v>
      </c>
      <c r="J102" s="12">
        <f>J101*(1+Returns!B89)</f>
        <v>69086121.963648692</v>
      </c>
      <c r="K102" s="12">
        <f>K101*(1+Returns!C89)</f>
        <v>22232592.281879198</v>
      </c>
      <c r="L102" s="12">
        <f>L101*(1+Returns!D89)</f>
        <v>6423505.8591332091</v>
      </c>
      <c r="M102" s="12">
        <f>M101*(1+Returns!E89)</f>
        <v>19489217.927059524</v>
      </c>
      <c r="N102" s="12">
        <f>N101*(1+Returns!F89)</f>
        <v>10633336.626815539</v>
      </c>
      <c r="O102" s="12">
        <f>O101*(1+Returns!G89)</f>
        <v>12275586.926499929</v>
      </c>
      <c r="P102" s="12">
        <f>P101*(1+Returns!H89)</f>
        <v>14307566.323140856</v>
      </c>
      <c r="Q102" s="12">
        <f t="shared" si="15"/>
        <v>154447927.90817696</v>
      </c>
      <c r="R102" s="12">
        <f t="shared" si="16"/>
        <v>547003.07800812682</v>
      </c>
      <c r="S102" s="12">
        <f t="shared" si="17"/>
        <v>153900924.83016884</v>
      </c>
      <c r="T102" t="b">
        <f t="shared" si="18"/>
        <v>1</v>
      </c>
      <c r="U102" s="12">
        <f t="shared" si="19"/>
        <v>46334378.372453086</v>
      </c>
      <c r="V102" s="12">
        <f>IF($T102=TRUE, $Q102*$C$8, $K102)</f>
        <v>23167189.186226543</v>
      </c>
      <c r="W102" s="12">
        <f>IF($T102=TRUE, $Q102*$C$9, $L102)</f>
        <v>7722396.3954088483</v>
      </c>
      <c r="X102" s="12">
        <f>IF($T102=TRUE, $Q102*$C$10, $M102)</f>
        <v>30889585.581635393</v>
      </c>
      <c r="Y102" s="12">
        <f>IF($T102=TRUE, $Q102*$C$11, $N102)</f>
        <v>15444792.790817697</v>
      </c>
      <c r="Z102" s="12">
        <f>IF($T102=TRUE, $Q102*$C$12, $O102)</f>
        <v>15444792.790817697</v>
      </c>
      <c r="AA102" s="12">
        <f>IF($T102=TRUE, $Q102*$C$13, $P102)</f>
        <v>15444792.790817697</v>
      </c>
      <c r="AB102" s="12">
        <f>U102-(1-$B$3)</f>
        <v>46334377.375994749</v>
      </c>
      <c r="AC102" s="12">
        <f t="shared" si="13"/>
        <v>23085138.724525325</v>
      </c>
      <c r="AD102" s="12">
        <f t="shared" si="13"/>
        <v>7695046.241508442</v>
      </c>
      <c r="AE102" s="12">
        <f t="shared" si="13"/>
        <v>30780184.966033768</v>
      </c>
      <c r="AF102" s="12">
        <f t="shared" si="12"/>
        <v>15390092.483016884</v>
      </c>
      <c r="AG102" s="12">
        <f t="shared" si="12"/>
        <v>15390092.483016884</v>
      </c>
      <c r="AH102" s="12">
        <f t="shared" si="12"/>
        <v>15390092.483016884</v>
      </c>
      <c r="AI102" s="12">
        <f t="shared" si="20"/>
        <v>154065024.75711292</v>
      </c>
    </row>
    <row r="103" spans="1:35" x14ac:dyDescent="0.2">
      <c r="A103" s="1">
        <f>Returns!A90</f>
        <v>45107</v>
      </c>
      <c r="B103" s="20">
        <f t="shared" si="21"/>
        <v>153900924.83016884</v>
      </c>
      <c r="C103" s="18">
        <f t="shared" si="22"/>
        <v>0.45893544003014503</v>
      </c>
      <c r="D103" s="18">
        <f t="shared" si="14"/>
        <v>0.14229202203766256</v>
      </c>
      <c r="E103" s="18">
        <f t="shared" si="14"/>
        <v>4.1836706564187733E-2</v>
      </c>
      <c r="F103" s="18">
        <f t="shared" si="14"/>
        <v>0.1197752763199211</v>
      </c>
      <c r="G103" s="18">
        <f t="shared" si="14"/>
        <v>6.6657722719882712E-2</v>
      </c>
      <c r="H103" s="18">
        <f t="shared" si="14"/>
        <v>7.9990468855425073E-2</v>
      </c>
      <c r="I103" s="18">
        <f t="shared" si="14"/>
        <v>9.051236347277565E-2</v>
      </c>
      <c r="J103" s="12">
        <f>J102*(1+Returns!B90)</f>
        <v>73563784.610157952</v>
      </c>
      <c r="K103" s="12">
        <f>K102*(1+Returns!C90)</f>
        <v>22808305.369127519</v>
      </c>
      <c r="L103" s="12">
        <f>L102*(1+Returns!D90)</f>
        <v>6706098.9456036175</v>
      </c>
      <c r="M103" s="12">
        <f>M102*(1+Returns!E90)</f>
        <v>19199046.010136139</v>
      </c>
      <c r="N103" s="12">
        <f>N102*(1+Returns!F90)</f>
        <v>10684714.949115705</v>
      </c>
      <c r="O103" s="12">
        <f>O102*(1+Returns!G90)</f>
        <v>12821850.544729175</v>
      </c>
      <c r="P103" s="12">
        <f>P102*(1+Returns!H90)</f>
        <v>14508428.485344779</v>
      </c>
      <c r="Q103" s="12">
        <f t="shared" si="15"/>
        <v>160292228.91421491</v>
      </c>
      <c r="R103" s="12">
        <f t="shared" si="16"/>
        <v>567701.64407117781</v>
      </c>
      <c r="S103" s="12">
        <f t="shared" si="17"/>
        <v>159724527.27014372</v>
      </c>
      <c r="T103" t="b">
        <f t="shared" si="18"/>
        <v>1</v>
      </c>
      <c r="U103" s="12">
        <f t="shared" si="19"/>
        <v>48087668.674264468</v>
      </c>
      <c r="V103" s="12">
        <f>IF($T103=TRUE, $Q103*$C$8, $K103)</f>
        <v>24043834.337132234</v>
      </c>
      <c r="W103" s="12">
        <f>IF($T103=TRUE, $Q103*$C$9, $L103)</f>
        <v>8014611.4457107456</v>
      </c>
      <c r="X103" s="12">
        <f>IF($T103=TRUE, $Q103*$C$10, $M103)</f>
        <v>32058445.782842983</v>
      </c>
      <c r="Y103" s="12">
        <f>IF($T103=TRUE, $Q103*$C$11, $N103)</f>
        <v>16029222.891421491</v>
      </c>
      <c r="Z103" s="12">
        <f>IF($T103=TRUE, $Q103*$C$12, $O103)</f>
        <v>16029222.891421491</v>
      </c>
      <c r="AA103" s="12">
        <f>IF($T103=TRUE, $Q103*$C$13, $P103)</f>
        <v>16029222.891421491</v>
      </c>
      <c r="AB103" s="12">
        <f>U103-(1-$B$3)</f>
        <v>48087667.677806132</v>
      </c>
      <c r="AC103" s="12">
        <f t="shared" si="13"/>
        <v>23958679.090521559</v>
      </c>
      <c r="AD103" s="12">
        <f t="shared" si="13"/>
        <v>7986226.363507187</v>
      </c>
      <c r="AE103" s="12">
        <f t="shared" si="13"/>
        <v>31944905.454028748</v>
      </c>
      <c r="AF103" s="12">
        <f t="shared" si="12"/>
        <v>15972452.727014374</v>
      </c>
      <c r="AG103" s="12">
        <f t="shared" si="12"/>
        <v>15972452.727014374</v>
      </c>
      <c r="AH103" s="12">
        <f t="shared" si="12"/>
        <v>15972452.727014374</v>
      </c>
      <c r="AI103" s="12">
        <f t="shared" si="20"/>
        <v>159894836.76690674</v>
      </c>
    </row>
    <row r="104" spans="1:35" x14ac:dyDescent="0.2">
      <c r="A104" s="1">
        <f>Returns!A91</f>
        <v>45138</v>
      </c>
      <c r="B104" s="20">
        <f t="shared" si="21"/>
        <v>159724527.27014372</v>
      </c>
      <c r="C104" s="18">
        <f t="shared" si="22"/>
        <v>0.46310091689653854</v>
      </c>
      <c r="D104" s="18">
        <f t="shared" si="14"/>
        <v>0.14279305395516192</v>
      </c>
      <c r="E104" s="18">
        <f t="shared" si="14"/>
        <v>4.3348489308852135E-2</v>
      </c>
      <c r="F104" s="18">
        <f t="shared" si="14"/>
        <v>0.11599118463993113</v>
      </c>
      <c r="G104" s="18">
        <f t="shared" si="14"/>
        <v>6.4956970591997801E-2</v>
      </c>
      <c r="H104" s="18">
        <f t="shared" si="14"/>
        <v>7.9749256931564039E-2</v>
      </c>
      <c r="I104" s="18">
        <f t="shared" si="14"/>
        <v>9.0060127675954393E-2</v>
      </c>
      <c r="J104" s="12">
        <f>J103*(1+Returns!B91)</f>
        <v>75970783.08136569</v>
      </c>
      <c r="K104" s="12">
        <f>K103*(1+Returns!C91)</f>
        <v>23424916.107382551</v>
      </c>
      <c r="L104" s="12">
        <f>L103*(1+Returns!D91)</f>
        <v>7111233.3360450761</v>
      </c>
      <c r="M104" s="12">
        <f>M103*(1+Returns!E91)</f>
        <v>19028122.826194968</v>
      </c>
      <c r="N104" s="12">
        <f>N103*(1+Returns!F91)</f>
        <v>10656061.653986763</v>
      </c>
      <c r="O104" s="12">
        <f>O103*(1+Returns!G91)</f>
        <v>13082706.766917299</v>
      </c>
      <c r="P104" s="12">
        <f>P103*(1+Returns!H91)</f>
        <v>14774184.576876121</v>
      </c>
      <c r="Q104" s="12">
        <f t="shared" si="15"/>
        <v>164048008.34876847</v>
      </c>
      <c r="R104" s="12">
        <f t="shared" si="16"/>
        <v>581003.36290188844</v>
      </c>
      <c r="S104" s="12">
        <f t="shared" si="17"/>
        <v>163467004.98586658</v>
      </c>
      <c r="T104" t="b">
        <f t="shared" si="18"/>
        <v>1</v>
      </c>
      <c r="U104" s="12">
        <f t="shared" si="19"/>
        <v>49214402.504630543</v>
      </c>
      <c r="V104" s="12">
        <f>IF($T104=TRUE, $Q104*$C$8, $K104)</f>
        <v>24607201.252315272</v>
      </c>
      <c r="W104" s="12">
        <f>IF($T104=TRUE, $Q104*$C$9, $L104)</f>
        <v>8202400.4174384242</v>
      </c>
      <c r="X104" s="12">
        <f>IF($T104=TRUE, $Q104*$C$10, $M104)</f>
        <v>32809601.669753697</v>
      </c>
      <c r="Y104" s="12">
        <f>IF($T104=TRUE, $Q104*$C$11, $N104)</f>
        <v>16404800.834876848</v>
      </c>
      <c r="Z104" s="12">
        <f>IF($T104=TRUE, $Q104*$C$12, $O104)</f>
        <v>16404800.834876848</v>
      </c>
      <c r="AA104" s="12">
        <f>IF($T104=TRUE, $Q104*$C$13, $P104)</f>
        <v>16404800.834876848</v>
      </c>
      <c r="AB104" s="12">
        <f>U104-(1-$B$3)</f>
        <v>49214401.508172207</v>
      </c>
      <c r="AC104" s="12">
        <f t="shared" si="13"/>
        <v>24520050.747879989</v>
      </c>
      <c r="AD104" s="12">
        <f t="shared" si="13"/>
        <v>8173350.2492933301</v>
      </c>
      <c r="AE104" s="12">
        <f t="shared" si="13"/>
        <v>32693400.997173321</v>
      </c>
      <c r="AF104" s="12">
        <f t="shared" si="12"/>
        <v>16346700.49858666</v>
      </c>
      <c r="AG104" s="12">
        <f t="shared" si="12"/>
        <v>16346700.49858666</v>
      </c>
      <c r="AH104" s="12">
        <f t="shared" si="12"/>
        <v>16346700.49858666</v>
      </c>
      <c r="AI104" s="12">
        <f t="shared" si="20"/>
        <v>163641304.99827883</v>
      </c>
    </row>
    <row r="105" spans="1:35" x14ac:dyDescent="0.2">
      <c r="A105" s="1">
        <f>Returns!A92</f>
        <v>45169</v>
      </c>
      <c r="B105" s="20">
        <f t="shared" si="21"/>
        <v>163467004.98586658</v>
      </c>
      <c r="C105" s="18">
        <f t="shared" si="22"/>
        <v>0.46741474985419645</v>
      </c>
      <c r="D105" s="18">
        <f t="shared" si="14"/>
        <v>0.14073970023126897</v>
      </c>
      <c r="E105" s="18">
        <f t="shared" si="14"/>
        <v>4.1527878234769777E-2</v>
      </c>
      <c r="F105" s="18">
        <f t="shared" si="14"/>
        <v>0.11783769658507762</v>
      </c>
      <c r="G105" s="18">
        <f t="shared" si="14"/>
        <v>6.5601061875199942E-2</v>
      </c>
      <c r="H105" s="18">
        <f t="shared" si="14"/>
        <v>7.9058296268475492E-2</v>
      </c>
      <c r="I105" s="18">
        <f t="shared" si="14"/>
        <v>8.7820616951011593E-2</v>
      </c>
      <c r="J105" s="12">
        <f>J104*(1+Returns!B92)</f>
        <v>74735858.671649367</v>
      </c>
      <c r="K105" s="12">
        <f>K104*(1+Returns!C92)</f>
        <v>22503145.973154366</v>
      </c>
      <c r="L105" s="12">
        <f>L104*(1+Returns!D92)</f>
        <v>6639973.6843036078</v>
      </c>
      <c r="M105" s="12">
        <f>M104*(1+Returns!E92)</f>
        <v>18841299.811189502</v>
      </c>
      <c r="N105" s="12">
        <f>N104*(1+Returns!F92)</f>
        <v>10489082.106511217</v>
      </c>
      <c r="O105" s="12">
        <f>O104*(1+Returns!G92)</f>
        <v>12640785.637563299</v>
      </c>
      <c r="P105" s="12">
        <f>P104*(1+Returns!H92)</f>
        <v>14041810.231609514</v>
      </c>
      <c r="Q105" s="12">
        <f t="shared" si="15"/>
        <v>159891956.11598089</v>
      </c>
      <c r="R105" s="12">
        <f t="shared" si="16"/>
        <v>566284.01124409901</v>
      </c>
      <c r="S105" s="12">
        <f t="shared" si="17"/>
        <v>159325672.1047368</v>
      </c>
      <c r="T105" t="b">
        <f t="shared" si="18"/>
        <v>1</v>
      </c>
      <c r="U105" s="12">
        <f t="shared" si="19"/>
        <v>47967586.834794268</v>
      </c>
      <c r="V105" s="12">
        <f>IF($T105=TRUE, $Q105*$C$8, $K105)</f>
        <v>23983793.417397134</v>
      </c>
      <c r="W105" s="12">
        <f>IF($T105=TRUE, $Q105*$C$9, $L105)</f>
        <v>7994597.8057990447</v>
      </c>
      <c r="X105" s="12">
        <f>IF($T105=TRUE, $Q105*$C$10, $M105)</f>
        <v>31978391.223196179</v>
      </c>
      <c r="Y105" s="12">
        <f>IF($T105=TRUE, $Q105*$C$11, $N105)</f>
        <v>15989195.611598089</v>
      </c>
      <c r="Z105" s="12">
        <f>IF($T105=TRUE, $Q105*$C$12, $O105)</f>
        <v>15989195.611598089</v>
      </c>
      <c r="AA105" s="12">
        <f>IF($T105=TRUE, $Q105*$C$13, $P105)</f>
        <v>15989195.611598089</v>
      </c>
      <c r="AB105" s="12">
        <f>U105-(1-$B$3)</f>
        <v>47967585.838335931</v>
      </c>
      <c r="AC105" s="12">
        <f t="shared" si="13"/>
        <v>23898850.815710519</v>
      </c>
      <c r="AD105" s="12">
        <f t="shared" si="13"/>
        <v>7966283.6052368395</v>
      </c>
      <c r="AE105" s="12">
        <f t="shared" si="13"/>
        <v>31865134.420947358</v>
      </c>
      <c r="AF105" s="12">
        <f t="shared" si="12"/>
        <v>15932567.210473679</v>
      </c>
      <c r="AG105" s="12">
        <f t="shared" si="12"/>
        <v>15932567.210473679</v>
      </c>
      <c r="AH105" s="12">
        <f t="shared" si="12"/>
        <v>15932567.210473679</v>
      </c>
      <c r="AI105" s="12">
        <f t="shared" si="20"/>
        <v>159495556.31165171</v>
      </c>
    </row>
    <row r="106" spans="1:35" x14ac:dyDescent="0.2">
      <c r="A106" s="1">
        <f>Returns!A93</f>
        <v>45199</v>
      </c>
      <c r="B106" s="20">
        <f t="shared" si="21"/>
        <v>159325672.1047368</v>
      </c>
      <c r="C106" s="18">
        <f t="shared" si="22"/>
        <v>0.46659091806424102</v>
      </c>
      <c r="D106" s="18">
        <f t="shared" si="14"/>
        <v>0.14210617087526772</v>
      </c>
      <c r="E106" s="18">
        <f t="shared" si="14"/>
        <v>4.2163663587296764E-2</v>
      </c>
      <c r="F106" s="18">
        <f t="shared" si="14"/>
        <v>0.11930626178722872</v>
      </c>
      <c r="G106" s="18">
        <f t="shared" si="14"/>
        <v>6.606547328232705E-2</v>
      </c>
      <c r="H106" s="18">
        <f t="shared" si="14"/>
        <v>7.6090646167219764E-2</v>
      </c>
      <c r="I106" s="18">
        <f t="shared" si="14"/>
        <v>8.7676866236419002E-2</v>
      </c>
      <c r="J106" s="12">
        <f>J105*(1+Returns!B93)</f>
        <v>71190759.300152853</v>
      </c>
      <c r="K106" s="12">
        <f>K105*(1+Returns!C93)</f>
        <v>21682046.979865775</v>
      </c>
      <c r="L106" s="12">
        <f>L105*(1+Returns!D93)</f>
        <v>6433179.7072025081</v>
      </c>
      <c r="M106" s="12">
        <f>M105*(1+Returns!E93)</f>
        <v>18203319.08973467</v>
      </c>
      <c r="N106" s="12">
        <f>N105*(1+Returns!F93)</f>
        <v>10080031.617429109</v>
      </c>
      <c r="O106" s="12">
        <f>O105*(1+Returns!G93)</f>
        <v>11609636.335737305</v>
      </c>
      <c r="P106" s="12">
        <f>P105*(1+Returns!H93)</f>
        <v>13377420.00278116</v>
      </c>
      <c r="Q106" s="12">
        <f t="shared" si="15"/>
        <v>152576393.03290337</v>
      </c>
      <c r="R106" s="12">
        <f t="shared" si="16"/>
        <v>540374.72532486613</v>
      </c>
      <c r="S106" s="12">
        <f t="shared" si="17"/>
        <v>152036018.3075785</v>
      </c>
      <c r="T106" t="b">
        <f t="shared" si="18"/>
        <v>1</v>
      </c>
      <c r="U106" s="12">
        <f t="shared" si="19"/>
        <v>45772917.909871012</v>
      </c>
      <c r="V106" s="12">
        <f>IF($T106=TRUE, $Q106*$C$8, $K106)</f>
        <v>22886458.954935506</v>
      </c>
      <c r="W106" s="12">
        <f>IF($T106=TRUE, $Q106*$C$9, $L106)</f>
        <v>7628819.6516451687</v>
      </c>
      <c r="X106" s="12">
        <f>IF($T106=TRUE, $Q106*$C$10, $M106)</f>
        <v>30515278.606580675</v>
      </c>
      <c r="Y106" s="12">
        <f>IF($T106=TRUE, $Q106*$C$11, $N106)</f>
        <v>15257639.303290337</v>
      </c>
      <c r="Z106" s="12">
        <f>IF($T106=TRUE, $Q106*$C$12, $O106)</f>
        <v>15257639.303290337</v>
      </c>
      <c r="AA106" s="12">
        <f>IF($T106=TRUE, $Q106*$C$13, $P106)</f>
        <v>15257639.303290337</v>
      </c>
      <c r="AB106" s="12">
        <f>U106-(1-$B$3)</f>
        <v>45772916.913412675</v>
      </c>
      <c r="AC106" s="12">
        <f t="shared" si="13"/>
        <v>22805402.746136777</v>
      </c>
      <c r="AD106" s="12">
        <f t="shared" si="13"/>
        <v>7601800.9153789254</v>
      </c>
      <c r="AE106" s="12">
        <f t="shared" si="13"/>
        <v>30407203.661515702</v>
      </c>
      <c r="AF106" s="12">
        <f t="shared" si="12"/>
        <v>15203601.830757851</v>
      </c>
      <c r="AG106" s="12">
        <f t="shared" si="12"/>
        <v>15203601.830757851</v>
      </c>
      <c r="AH106" s="12">
        <f t="shared" si="12"/>
        <v>15203601.830757851</v>
      </c>
      <c r="AI106" s="12">
        <f t="shared" si="20"/>
        <v>152198129.72871763</v>
      </c>
    </row>
    <row r="107" spans="1:35" x14ac:dyDescent="0.2">
      <c r="A107" s="1">
        <f>Returns!A94</f>
        <v>45230</v>
      </c>
      <c r="B107" s="20">
        <f t="shared" si="21"/>
        <v>152036018.3075785</v>
      </c>
      <c r="C107" s="18">
        <f t="shared" si="22"/>
        <v>0.46825970647061488</v>
      </c>
      <c r="D107" s="18">
        <f t="shared" si="14"/>
        <v>0.14154936070664606</v>
      </c>
      <c r="E107" s="18">
        <f t="shared" si="14"/>
        <v>4.1828890438934389E-2</v>
      </c>
      <c r="F107" s="18">
        <f t="shared" si="14"/>
        <v>0.11971788264354519</v>
      </c>
      <c r="G107" s="18">
        <f t="shared" si="14"/>
        <v>6.5880040278218269E-2</v>
      </c>
      <c r="H107" s="18">
        <f t="shared" si="14"/>
        <v>7.5230839239996669E-2</v>
      </c>
      <c r="I107" s="18">
        <f t="shared" si="14"/>
        <v>8.7533280222044568E-2</v>
      </c>
      <c r="J107" s="12">
        <f>J106*(1+Returns!B94)</f>
        <v>69644980.465432286</v>
      </c>
      <c r="K107" s="12">
        <f>K106*(1+Returns!C94)</f>
        <v>21052852.348993294</v>
      </c>
      <c r="L107" s="12">
        <f>L106*(1+Returns!D94)</f>
        <v>6221274.6842293292</v>
      </c>
      <c r="M107" s="12">
        <f>M106*(1+Returns!E94)</f>
        <v>17805823.313127298</v>
      </c>
      <c r="N107" s="12">
        <f>N106*(1+Returns!F94)</f>
        <v>9798438.889437804</v>
      </c>
      <c r="O107" s="12">
        <f>O106*(1+Returns!G94)</f>
        <v>11189197.483504683</v>
      </c>
      <c r="P107" s="12">
        <f>P106*(1+Returns!H94)</f>
        <v>13018958.297924932</v>
      </c>
      <c r="Q107" s="12">
        <f t="shared" si="15"/>
        <v>148731525.48264962</v>
      </c>
      <c r="R107" s="12">
        <f t="shared" si="16"/>
        <v>526757.48608438415</v>
      </c>
      <c r="S107" s="12">
        <f t="shared" si="17"/>
        <v>148204767.99656525</v>
      </c>
      <c r="T107" t="b">
        <f t="shared" si="18"/>
        <v>1</v>
      </c>
      <c r="U107" s="12">
        <f t="shared" si="19"/>
        <v>44619457.644794889</v>
      </c>
      <c r="V107" s="12">
        <f>IF($T107=TRUE, $Q107*$C$8, $K107)</f>
        <v>22309728.822397444</v>
      </c>
      <c r="W107" s="12">
        <f>IF($T107=TRUE, $Q107*$C$9, $L107)</f>
        <v>7436576.2741324818</v>
      </c>
      <c r="X107" s="12">
        <f>IF($T107=TRUE, $Q107*$C$10, $M107)</f>
        <v>29746305.096529927</v>
      </c>
      <c r="Y107" s="12">
        <f>IF($T107=TRUE, $Q107*$C$11, $N107)</f>
        <v>14873152.548264964</v>
      </c>
      <c r="Z107" s="12">
        <f>IF($T107=TRUE, $Q107*$C$12, $O107)</f>
        <v>14873152.548264964</v>
      </c>
      <c r="AA107" s="12">
        <f>IF($T107=TRUE, $Q107*$C$13, $P107)</f>
        <v>14873152.548264964</v>
      </c>
      <c r="AB107" s="12">
        <f>U107-(1-$B$3)</f>
        <v>44619456.648336552</v>
      </c>
      <c r="AC107" s="12">
        <f t="shared" si="13"/>
        <v>22230715.199484788</v>
      </c>
      <c r="AD107" s="12">
        <f t="shared" si="13"/>
        <v>7410238.3998282626</v>
      </c>
      <c r="AE107" s="12">
        <f t="shared" si="13"/>
        <v>29640953.599313051</v>
      </c>
      <c r="AF107" s="12">
        <f t="shared" si="12"/>
        <v>14820476.799656525</v>
      </c>
      <c r="AG107" s="12">
        <f t="shared" si="12"/>
        <v>14820476.799656525</v>
      </c>
      <c r="AH107" s="12">
        <f t="shared" si="12"/>
        <v>14820476.799656525</v>
      </c>
      <c r="AI107" s="12">
        <f t="shared" si="20"/>
        <v>148362794.24593222</v>
      </c>
    </row>
    <row r="108" spans="1:35" x14ac:dyDescent="0.2">
      <c r="A108" s="1">
        <f>Returns!A95</f>
        <v>45260</v>
      </c>
      <c r="B108" s="20">
        <f t="shared" si="21"/>
        <v>148204767.99656525</v>
      </c>
      <c r="C108" s="18">
        <f t="shared" si="22"/>
        <v>0.47110893994008318</v>
      </c>
      <c r="D108" s="18">
        <f t="shared" si="14"/>
        <v>0.14121300535697304</v>
      </c>
      <c r="E108" s="18">
        <f t="shared" si="14"/>
        <v>4.1565319212197666E-2</v>
      </c>
      <c r="F108" s="18">
        <f t="shared" si="14"/>
        <v>0.11506866067593115</v>
      </c>
      <c r="G108" s="18">
        <f t="shared" si="14"/>
        <v>6.5092379136160658E-2</v>
      </c>
      <c r="H108" s="18">
        <f t="shared" si="14"/>
        <v>7.7731122817825696E-2</v>
      </c>
      <c r="I108" s="18">
        <f t="shared" si="14"/>
        <v>8.8220572860828628E-2</v>
      </c>
      <c r="J108" s="12">
        <f>J107*(1+Returns!B95)</f>
        <v>76008153.558688596</v>
      </c>
      <c r="K108" s="12">
        <f>K107*(1+Returns!C95)</f>
        <v>22783137.583892621</v>
      </c>
      <c r="L108" s="12">
        <f>L107*(1+Returns!D95)</f>
        <v>6706098.9456036165</v>
      </c>
      <c r="M108" s="12">
        <f>M107*(1+Returns!E95)</f>
        <v>18565040.246447381</v>
      </c>
      <c r="N108" s="12">
        <f>N107*(1+Returns!F95)</f>
        <v>10501926.687086258</v>
      </c>
      <c r="O108" s="12">
        <f>O107*(1+Returns!G95)</f>
        <v>12541046.493785487</v>
      </c>
      <c r="P108" s="12">
        <f>P107*(1+Returns!H95)</f>
        <v>14233401.83248095</v>
      </c>
      <c r="Q108" s="12">
        <f t="shared" si="15"/>
        <v>161338805.34798491</v>
      </c>
      <c r="R108" s="12">
        <f t="shared" si="16"/>
        <v>571408.26894077996</v>
      </c>
      <c r="S108" s="12">
        <f t="shared" si="17"/>
        <v>160767397.07904413</v>
      </c>
      <c r="T108" t="b">
        <f t="shared" si="18"/>
        <v>1</v>
      </c>
      <c r="U108" s="12">
        <f t="shared" si="19"/>
        <v>48401641.604395472</v>
      </c>
      <c r="V108" s="12">
        <f>IF($T108=TRUE, $Q108*$C$8, $K108)</f>
        <v>24200820.802197736</v>
      </c>
      <c r="W108" s="12">
        <f>IF($T108=TRUE, $Q108*$C$9, $L108)</f>
        <v>8066940.2673992459</v>
      </c>
      <c r="X108" s="12">
        <f>IF($T108=TRUE, $Q108*$C$10, $M108)</f>
        <v>32267761.069596983</v>
      </c>
      <c r="Y108" s="12">
        <f>IF($T108=TRUE, $Q108*$C$11, $N108)</f>
        <v>16133880.534798492</v>
      </c>
      <c r="Z108" s="12">
        <f>IF($T108=TRUE, $Q108*$C$12, $O108)</f>
        <v>16133880.534798492</v>
      </c>
      <c r="AA108" s="12">
        <f>IF($T108=TRUE, $Q108*$C$13, $P108)</f>
        <v>16133880.534798492</v>
      </c>
      <c r="AB108" s="12">
        <f>U108-(1-$B$3)</f>
        <v>48401640.607937135</v>
      </c>
      <c r="AC108" s="12">
        <f t="shared" si="13"/>
        <v>24115109.56185662</v>
      </c>
      <c r="AD108" s="12">
        <f t="shared" si="13"/>
        <v>8038369.8539522067</v>
      </c>
      <c r="AE108" s="12">
        <f t="shared" si="13"/>
        <v>32153479.415808827</v>
      </c>
      <c r="AF108" s="12">
        <f t="shared" si="12"/>
        <v>16076739.707904413</v>
      </c>
      <c r="AG108" s="12">
        <f t="shared" si="12"/>
        <v>16076739.707904413</v>
      </c>
      <c r="AH108" s="12">
        <f t="shared" si="12"/>
        <v>16076739.707904413</v>
      </c>
      <c r="AI108" s="12">
        <f t="shared" si="20"/>
        <v>160938818.56326801</v>
      </c>
    </row>
    <row r="109" spans="1:35" x14ac:dyDescent="0.2">
      <c r="A109" s="1">
        <f>Returns!A96</f>
        <v>45291</v>
      </c>
      <c r="B109" s="20">
        <f t="shared" si="21"/>
        <v>160767397.07904413</v>
      </c>
      <c r="C109" s="18">
        <f t="shared" si="22"/>
        <v>0.47218908200511606</v>
      </c>
      <c r="D109" s="18">
        <f t="shared" si="14"/>
        <v>0.14083602685128999</v>
      </c>
      <c r="E109" s="18">
        <f t="shared" si="14"/>
        <v>4.1262971307803313E-2</v>
      </c>
      <c r="F109" s="18">
        <f t="shared" si="14"/>
        <v>0.11381775074889339</v>
      </c>
      <c r="G109" s="18">
        <f t="shared" si="14"/>
        <v>6.4959509457040598E-2</v>
      </c>
      <c r="H109" s="18">
        <f t="shared" si="14"/>
        <v>8.055332691891337E-2</v>
      </c>
      <c r="I109" s="18">
        <f t="shared" si="14"/>
        <v>8.6381332710943295E-2</v>
      </c>
      <c r="J109" s="12">
        <f>J108*(1+Returns!B96)</f>
        <v>79476813.317479149</v>
      </c>
      <c r="K109" s="12">
        <f>K108*(1+Returns!C96)</f>
        <v>23704907.718120806</v>
      </c>
      <c r="L109" s="12">
        <f>L108*(1+Returns!D96)</f>
        <v>6945203.9289617678</v>
      </c>
      <c r="M109" s="12">
        <f>M108*(1+Returns!E96)</f>
        <v>19157308.953592371</v>
      </c>
      <c r="N109" s="12">
        <f>N108*(1+Returns!F96)</f>
        <v>10933702.203339593</v>
      </c>
      <c r="O109" s="12">
        <f>O108*(1+Returns!G96)</f>
        <v>13558385.760319168</v>
      </c>
      <c r="P109" s="12">
        <f>P108*(1+Returns!H96)</f>
        <v>14539330.356453076</v>
      </c>
      <c r="Q109" s="12">
        <f t="shared" si="15"/>
        <v>168315652.23826593</v>
      </c>
      <c r="R109" s="12">
        <f t="shared" si="16"/>
        <v>596117.93501052517</v>
      </c>
      <c r="S109" s="12">
        <f t="shared" si="17"/>
        <v>167719534.30325541</v>
      </c>
      <c r="T109" t="b">
        <f t="shared" si="18"/>
        <v>1</v>
      </c>
      <c r="U109" s="12">
        <f t="shared" si="19"/>
        <v>50494695.671479777</v>
      </c>
      <c r="V109" s="12">
        <f>IF($T109=TRUE, $Q109*$C$8, $K109)</f>
        <v>25247347.835739888</v>
      </c>
      <c r="W109" s="12">
        <f>IF($T109=TRUE, $Q109*$C$9, $L109)</f>
        <v>8415782.6119132973</v>
      </c>
      <c r="X109" s="12">
        <f>IF($T109=TRUE, $Q109*$C$10, $M109)</f>
        <v>33663130.447653189</v>
      </c>
      <c r="Y109" s="12">
        <f>IF($T109=TRUE, $Q109*$C$11, $N109)</f>
        <v>16831565.223826595</v>
      </c>
      <c r="Z109" s="12">
        <f>IF($T109=TRUE, $Q109*$C$12, $O109)</f>
        <v>16831565.223826595</v>
      </c>
      <c r="AA109" s="12">
        <f>IF($T109=TRUE, $Q109*$C$13, $P109)</f>
        <v>16831565.223826595</v>
      </c>
      <c r="AB109" s="12">
        <f>U109-(1-$B$3)</f>
        <v>50494694.67502144</v>
      </c>
      <c r="AC109" s="12">
        <f t="shared" si="13"/>
        <v>25157930.145488311</v>
      </c>
      <c r="AD109" s="12">
        <f t="shared" si="13"/>
        <v>8385976.7151627708</v>
      </c>
      <c r="AE109" s="12">
        <f t="shared" si="13"/>
        <v>33543906.860651083</v>
      </c>
      <c r="AF109" s="12">
        <f t="shared" si="12"/>
        <v>16771953.430325542</v>
      </c>
      <c r="AG109" s="12">
        <f t="shared" si="12"/>
        <v>16771953.430325542</v>
      </c>
      <c r="AH109" s="12">
        <f t="shared" si="12"/>
        <v>16771953.430325542</v>
      </c>
      <c r="AI109" s="12">
        <f t="shared" si="20"/>
        <v>167898368.68730021</v>
      </c>
    </row>
    <row r="110" spans="1:35" x14ac:dyDescent="0.2">
      <c r="A110" s="1">
        <f>Returns!A97</f>
        <v>45322</v>
      </c>
      <c r="B110" s="20">
        <f t="shared" si="21"/>
        <v>167719534.30325541</v>
      </c>
      <c r="C110" s="18">
        <f t="shared" si="22"/>
        <v>0.48084242442897535</v>
      </c>
      <c r="D110" s="18">
        <f t="shared" si="14"/>
        <v>0.1405292181354604</v>
      </c>
      <c r="E110" s="18">
        <f t="shared" si="14"/>
        <v>3.9487671948580293E-2</v>
      </c>
      <c r="F110" s="18">
        <f t="shared" si="14"/>
        <v>0.11416743207701299</v>
      </c>
      <c r="G110" s="18">
        <f t="shared" si="14"/>
        <v>6.4823485174575535E-2</v>
      </c>
      <c r="H110" s="18">
        <f t="shared" si="14"/>
        <v>7.6657548348289833E-2</v>
      </c>
      <c r="I110" s="18">
        <f t="shared" si="14"/>
        <v>8.3492219887105798E-2</v>
      </c>
      <c r="J110" s="12">
        <f>J109*(1+Returns!B97)</f>
        <v>80744012.230337977</v>
      </c>
      <c r="K110" s="12">
        <f>K109*(1+Returns!C97)</f>
        <v>23597944.630872488</v>
      </c>
      <c r="L110" s="12">
        <f>L109*(1+Returns!D97)</f>
        <v>6630848.0799091691</v>
      </c>
      <c r="M110" s="12">
        <f>M109*(1+Returns!E97)</f>
        <v>19171221.305773627</v>
      </c>
      <c r="N110" s="12">
        <f>N109*(1+Returns!F97)</f>
        <v>10885288.015018282</v>
      </c>
      <c r="O110" s="12">
        <f>O109*(1+Returns!G97)</f>
        <v>12872487.340800986</v>
      </c>
      <c r="P110" s="12">
        <f>P109*(1+Returns!H97)</f>
        <v>14020178.921833709</v>
      </c>
      <c r="Q110" s="12">
        <f t="shared" si="15"/>
        <v>167921980.52454621</v>
      </c>
      <c r="R110" s="12">
        <f t="shared" si="16"/>
        <v>594723.68102443451</v>
      </c>
      <c r="S110" s="12">
        <f t="shared" si="17"/>
        <v>167327256.84352177</v>
      </c>
      <c r="T110" t="b">
        <f t="shared" si="18"/>
        <v>1</v>
      </c>
      <c r="U110" s="12">
        <f t="shared" si="19"/>
        <v>50376594.157363862</v>
      </c>
      <c r="V110" s="12">
        <f>IF($T110=TRUE, $Q110*$C$8, $K110)</f>
        <v>25188297.078681931</v>
      </c>
      <c r="W110" s="12">
        <f>IF($T110=TRUE, $Q110*$C$9, $L110)</f>
        <v>8396099.0262273103</v>
      </c>
      <c r="X110" s="12">
        <f>IF($T110=TRUE, $Q110*$C$10, $M110)</f>
        <v>33584396.104909241</v>
      </c>
      <c r="Y110" s="12">
        <f>IF($T110=TRUE, $Q110*$C$11, $N110)</f>
        <v>16792198.052454621</v>
      </c>
      <c r="Z110" s="12">
        <f>IF($T110=TRUE, $Q110*$C$12, $O110)</f>
        <v>16792198.052454621</v>
      </c>
      <c r="AA110" s="12">
        <f>IF($T110=TRUE, $Q110*$C$13, $P110)</f>
        <v>16792198.052454621</v>
      </c>
      <c r="AB110" s="12">
        <f>U110-(1-$B$3)</f>
        <v>50376593.160905525</v>
      </c>
      <c r="AC110" s="12">
        <f t="shared" si="13"/>
        <v>25099088.526528265</v>
      </c>
      <c r="AD110" s="12">
        <f t="shared" si="13"/>
        <v>8366362.8421760881</v>
      </c>
      <c r="AE110" s="12">
        <f t="shared" si="13"/>
        <v>33465451.368704353</v>
      </c>
      <c r="AF110" s="12">
        <f t="shared" si="12"/>
        <v>16732725.684352176</v>
      </c>
      <c r="AG110" s="12">
        <f t="shared" si="12"/>
        <v>16732725.684352176</v>
      </c>
      <c r="AH110" s="12">
        <f t="shared" si="12"/>
        <v>16732725.684352176</v>
      </c>
      <c r="AI110" s="12">
        <f t="shared" si="20"/>
        <v>167505672.95137078</v>
      </c>
    </row>
    <row r="111" spans="1:35" x14ac:dyDescent="0.2">
      <c r="A111" s="1">
        <f>Returns!A98</f>
        <v>45351</v>
      </c>
      <c r="B111" s="20">
        <f t="shared" si="21"/>
        <v>167327256.84352177</v>
      </c>
      <c r="C111" s="18">
        <f t="shared" si="22"/>
        <v>0.4917594339748303</v>
      </c>
      <c r="D111" s="18">
        <f t="shared" si="14"/>
        <v>0.14067231892874688</v>
      </c>
      <c r="E111" s="18">
        <f t="shared" si="14"/>
        <v>3.9981314468354436E-2</v>
      </c>
      <c r="F111" s="18">
        <f t="shared" si="14"/>
        <v>0.10839288336936016</v>
      </c>
      <c r="G111" s="18">
        <f t="shared" si="14"/>
        <v>6.1572402101802592E-2</v>
      </c>
      <c r="H111" s="18">
        <f t="shared" si="14"/>
        <v>7.5984925002687387E-2</v>
      </c>
      <c r="I111" s="18">
        <f t="shared" si="14"/>
        <v>8.1636722154218064E-2</v>
      </c>
      <c r="J111" s="12">
        <f>J110*(1+Returns!B98)</f>
        <v>84956684.219466567</v>
      </c>
      <c r="K111" s="12">
        <f>K110*(1+Returns!C98)</f>
        <v>24302642.617449667</v>
      </c>
      <c r="L111" s="12">
        <f>L110*(1+Returns!D98)</f>
        <v>6907198.2625981094</v>
      </c>
      <c r="M111" s="12">
        <f>M110*(1+Returns!E98)</f>
        <v>18726026.03597337</v>
      </c>
      <c r="N111" s="12">
        <f>N110*(1+Returns!F98)</f>
        <v>10637288.805454008</v>
      </c>
      <c r="O111" s="12">
        <f>O110*(1+Returns!G98)</f>
        <v>13127205.769525858</v>
      </c>
      <c r="P111" s="12">
        <f>P110*(1+Returns!H98)</f>
        <v>14103613.973826109</v>
      </c>
      <c r="Q111" s="12">
        <f t="shared" si="15"/>
        <v>172760659.68429372</v>
      </c>
      <c r="R111" s="12">
        <f t="shared" si="16"/>
        <v>611860.66971520695</v>
      </c>
      <c r="S111" s="12">
        <f t="shared" si="17"/>
        <v>172148799.01457852</v>
      </c>
      <c r="T111" t="b">
        <f t="shared" si="18"/>
        <v>1</v>
      </c>
      <c r="U111" s="12">
        <f t="shared" si="19"/>
        <v>51828197.905288115</v>
      </c>
      <c r="V111" s="12">
        <f>IF($T111=TRUE, $Q111*$C$8, $K111)</f>
        <v>25914098.952644058</v>
      </c>
      <c r="W111" s="12">
        <f>IF($T111=TRUE, $Q111*$C$9, $L111)</f>
        <v>8638032.9842146859</v>
      </c>
      <c r="X111" s="12">
        <f>IF($T111=TRUE, $Q111*$C$10, $M111)</f>
        <v>34552131.936858743</v>
      </c>
      <c r="Y111" s="12">
        <f>IF($T111=TRUE, $Q111*$C$11, $N111)</f>
        <v>17276065.968429372</v>
      </c>
      <c r="Z111" s="12">
        <f>IF($T111=TRUE, $Q111*$C$12, $O111)</f>
        <v>17276065.968429372</v>
      </c>
      <c r="AA111" s="12">
        <f>IF($T111=TRUE, $Q111*$C$13, $P111)</f>
        <v>17276065.968429372</v>
      </c>
      <c r="AB111" s="12">
        <f>U111-(1-$B$3)</f>
        <v>51828196.908829778</v>
      </c>
      <c r="AC111" s="12">
        <f t="shared" si="13"/>
        <v>25822319.852186777</v>
      </c>
      <c r="AD111" s="12">
        <f t="shared" si="13"/>
        <v>8607439.9507289249</v>
      </c>
      <c r="AE111" s="12">
        <f t="shared" si="13"/>
        <v>34429759.8029157</v>
      </c>
      <c r="AF111" s="12">
        <f t="shared" si="12"/>
        <v>17214879.90145785</v>
      </c>
      <c r="AG111" s="12">
        <f t="shared" si="12"/>
        <v>17214879.90145785</v>
      </c>
      <c r="AH111" s="12">
        <f t="shared" si="12"/>
        <v>17214879.90145785</v>
      </c>
      <c r="AI111" s="12">
        <f t="shared" si="20"/>
        <v>172332356.2190347</v>
      </c>
    </row>
    <row r="112" spans="1:35" x14ac:dyDescent="0.2">
      <c r="A112" s="1">
        <f>Returns!A99</f>
        <v>45382</v>
      </c>
      <c r="B112" s="20">
        <f t="shared" si="21"/>
        <v>172148799.01457852</v>
      </c>
      <c r="C112" s="18">
        <f t="shared" si="22"/>
        <v>0.494242337726152</v>
      </c>
      <c r="D112" s="18">
        <f t="shared" si="14"/>
        <v>0.14152982617595941</v>
      </c>
      <c r="E112" s="18">
        <f t="shared" si="14"/>
        <v>3.99709152537953E-2</v>
      </c>
      <c r="F112" s="18">
        <f t="shared" si="14"/>
        <v>0.10598213844457387</v>
      </c>
      <c r="G112" s="18">
        <f t="shared" si="14"/>
        <v>6.062445716180874E-2</v>
      </c>
      <c r="H112" s="18">
        <f t="shared" si="14"/>
        <v>7.4753514401288079E-2</v>
      </c>
      <c r="I112" s="18">
        <f t="shared" si="14"/>
        <v>8.289681083642253E-2</v>
      </c>
      <c r="J112" s="12">
        <f>J111*(1+Returns!B99)</f>
        <v>87735688.805843338</v>
      </c>
      <c r="K112" s="12">
        <f>K111*(1+Returns!C99)</f>
        <v>25123741.610738259</v>
      </c>
      <c r="L112" s="12">
        <f>L111*(1+Returns!D99)</f>
        <v>7095458.0664329855</v>
      </c>
      <c r="M112" s="12">
        <f>M111*(1+Returns!E99)</f>
        <v>18813475.106826991</v>
      </c>
      <c r="N112" s="12">
        <f>N111*(1+Returns!F99)</f>
        <v>10761782.432565955</v>
      </c>
      <c r="O112" s="12">
        <f>O111*(1+Returns!G99)</f>
        <v>13269909.46754642</v>
      </c>
      <c r="P112" s="12">
        <f>P111*(1+Returns!H99)</f>
        <v>14715471.02177036</v>
      </c>
      <c r="Q112" s="12">
        <f t="shared" si="15"/>
        <v>177515526.51172432</v>
      </c>
      <c r="R112" s="12">
        <f t="shared" si="16"/>
        <v>628700.82306235703</v>
      </c>
      <c r="S112" s="12">
        <f t="shared" si="17"/>
        <v>176886825.68866196</v>
      </c>
      <c r="T112" t="b">
        <f t="shared" si="18"/>
        <v>1</v>
      </c>
      <c r="U112" s="12">
        <f t="shared" si="19"/>
        <v>53254657.953517295</v>
      </c>
      <c r="V112" s="12">
        <f>IF($T112=TRUE, $Q112*$C$8, $K112)</f>
        <v>26627328.976758648</v>
      </c>
      <c r="W112" s="12">
        <f>IF($T112=TRUE, $Q112*$C$9, $L112)</f>
        <v>8875776.3255862165</v>
      </c>
      <c r="X112" s="12">
        <f>IF($T112=TRUE, $Q112*$C$10, $M112)</f>
        <v>35503105.302344866</v>
      </c>
      <c r="Y112" s="12">
        <f>IF($T112=TRUE, $Q112*$C$11, $N112)</f>
        <v>17751552.651172433</v>
      </c>
      <c r="Z112" s="12">
        <f>IF($T112=TRUE, $Q112*$C$12, $O112)</f>
        <v>17751552.651172433</v>
      </c>
      <c r="AA112" s="12">
        <f>IF($T112=TRUE, $Q112*$C$13, $P112)</f>
        <v>17751552.651172433</v>
      </c>
      <c r="AB112" s="12">
        <f>U112-(1-$B$3)</f>
        <v>53254656.957058959</v>
      </c>
      <c r="AC112" s="12">
        <f t="shared" si="13"/>
        <v>26533023.853299294</v>
      </c>
      <c r="AD112" s="12">
        <f t="shared" si="13"/>
        <v>8844341.2844330985</v>
      </c>
      <c r="AE112" s="12">
        <f t="shared" si="13"/>
        <v>35377365.137732394</v>
      </c>
      <c r="AF112" s="12">
        <f t="shared" si="12"/>
        <v>17688682.568866197</v>
      </c>
      <c r="AG112" s="12">
        <f t="shared" si="12"/>
        <v>17688682.568866197</v>
      </c>
      <c r="AH112" s="12">
        <f t="shared" si="12"/>
        <v>17688682.568866197</v>
      </c>
      <c r="AI112" s="12">
        <f t="shared" si="20"/>
        <v>177075434.93912232</v>
      </c>
    </row>
    <row r="113" spans="1:35" x14ac:dyDescent="0.2">
      <c r="A113" s="1">
        <f>Returns!A100</f>
        <v>45412</v>
      </c>
      <c r="B113" s="20">
        <f t="shared" si="21"/>
        <v>176886825.68866196</v>
      </c>
      <c r="C113" s="18">
        <f t="shared" si="22"/>
        <v>0.49247835882680396</v>
      </c>
      <c r="D113" s="18">
        <f t="shared" si="14"/>
        <v>0.14218522738568889</v>
      </c>
      <c r="E113" s="18">
        <f t="shared" si="14"/>
        <v>4.1411173732921254E-2</v>
      </c>
      <c r="F113" s="18">
        <f t="shared" si="14"/>
        <v>0.10628691335611405</v>
      </c>
      <c r="G113" s="18">
        <f t="shared" si="14"/>
        <v>6.0675457989541381E-2</v>
      </c>
      <c r="H113" s="18">
        <f t="shared" si="14"/>
        <v>7.1451023662892257E-2</v>
      </c>
      <c r="I113" s="18">
        <f t="shared" si="14"/>
        <v>8.5511845046038135E-2</v>
      </c>
      <c r="J113" s="12">
        <f>J112*(1+Returns!B100)</f>
        <v>84197384.066587359</v>
      </c>
      <c r="K113" s="12">
        <f>K112*(1+Returns!C100)</f>
        <v>24308934.563758392</v>
      </c>
      <c r="L113" s="12">
        <f>L112*(1+Returns!D100)</f>
        <v>7079930.390738572</v>
      </c>
      <c r="M113" s="12">
        <f>M112*(1+Returns!E100)</f>
        <v>18171519.427606083</v>
      </c>
      <c r="N113" s="12">
        <f>N112*(1+Returns!F100)</f>
        <v>10373480.88133584</v>
      </c>
      <c r="O113" s="12">
        <f>O112*(1+Returns!G100)</f>
        <v>12215743.440233238</v>
      </c>
      <c r="P113" s="12">
        <f>P112*(1+Returns!H100)</f>
        <v>14619675.221334646</v>
      </c>
      <c r="Q113" s="12">
        <f t="shared" si="15"/>
        <v>170966667.99159414</v>
      </c>
      <c r="R113" s="12">
        <f t="shared" si="16"/>
        <v>605506.94913689594</v>
      </c>
      <c r="S113" s="12">
        <f t="shared" si="17"/>
        <v>170361161.04245725</v>
      </c>
      <c r="T113" t="b">
        <f t="shared" si="18"/>
        <v>1</v>
      </c>
      <c r="U113" s="12">
        <f t="shared" si="19"/>
        <v>51290000.397478238</v>
      </c>
      <c r="V113" s="12">
        <f>IF($T113=TRUE, $Q113*$C$8, $K113)</f>
        <v>25645000.198739119</v>
      </c>
      <c r="W113" s="12">
        <f>IF($T113=TRUE, $Q113*$C$9, $L113)</f>
        <v>8548333.3995797075</v>
      </c>
      <c r="X113" s="12">
        <f>IF($T113=TRUE, $Q113*$C$10, $M113)</f>
        <v>34193333.59831883</v>
      </c>
      <c r="Y113" s="12">
        <f>IF($T113=TRUE, $Q113*$C$11, $N113)</f>
        <v>17096666.799159415</v>
      </c>
      <c r="Z113" s="12">
        <f>IF($T113=TRUE, $Q113*$C$12, $O113)</f>
        <v>17096666.799159415</v>
      </c>
      <c r="AA113" s="12">
        <f>IF($T113=TRUE, $Q113*$C$13, $P113)</f>
        <v>17096666.799159415</v>
      </c>
      <c r="AB113" s="12">
        <f>U113-(1-$B$3)</f>
        <v>51289999.401019901</v>
      </c>
      <c r="AC113" s="12">
        <f t="shared" si="13"/>
        <v>25554174.156368583</v>
      </c>
      <c r="AD113" s="12">
        <f t="shared" si="13"/>
        <v>8518058.052122863</v>
      </c>
      <c r="AE113" s="12">
        <f t="shared" si="13"/>
        <v>34072232.208491452</v>
      </c>
      <c r="AF113" s="12">
        <f t="shared" si="12"/>
        <v>17036116.104245726</v>
      </c>
      <c r="AG113" s="12">
        <f t="shared" si="12"/>
        <v>17036116.104245726</v>
      </c>
      <c r="AH113" s="12">
        <f t="shared" si="12"/>
        <v>17036116.104245726</v>
      </c>
      <c r="AI113" s="12">
        <f t="shared" si="20"/>
        <v>170542812.13073996</v>
      </c>
    </row>
    <row r="114" spans="1:35" x14ac:dyDescent="0.2">
      <c r="A114" s="1">
        <f>Returns!A101</f>
        <v>45443</v>
      </c>
      <c r="B114" s="20">
        <f t="shared" si="21"/>
        <v>170361161.04245725</v>
      </c>
      <c r="C114" s="18">
        <f t="shared" si="22"/>
        <v>0.49818935885135185</v>
      </c>
      <c r="D114" s="18">
        <f t="shared" si="14"/>
        <v>0.13983298638375544</v>
      </c>
      <c r="E114" s="18">
        <f t="shared" si="14"/>
        <v>4.0652828543551713E-2</v>
      </c>
      <c r="F114" s="18">
        <f t="shared" si="14"/>
        <v>0.10387667580778484</v>
      </c>
      <c r="G114" s="18">
        <f t="shared" si="14"/>
        <v>5.9375672088288825E-2</v>
      </c>
      <c r="H114" s="18">
        <f t="shared" si="14"/>
        <v>7.03208544320712E-2</v>
      </c>
      <c r="I114" s="18">
        <f t="shared" si="14"/>
        <v>8.7751623893196032E-2</v>
      </c>
      <c r="J114" s="12">
        <f>J113*(1+Returns!B101)</f>
        <v>88455919.823339522</v>
      </c>
      <c r="K114" s="12">
        <f>K113*(1+Returns!C101)</f>
        <v>24828020.134228192</v>
      </c>
      <c r="L114" s="12">
        <f>L113*(1+Returns!D101)</f>
        <v>7218105.4820830422</v>
      </c>
      <c r="M114" s="12">
        <f>M113*(1+Returns!E101)</f>
        <v>18443804.034582131</v>
      </c>
      <c r="N114" s="12">
        <f>N113*(1+Returns!F101)</f>
        <v>10542436.518130625</v>
      </c>
      <c r="O114" s="12">
        <f>O113*(1+Returns!G101)</f>
        <v>12485806.352616237</v>
      </c>
      <c r="P114" s="12">
        <f>P113*(1+Returns!H101)</f>
        <v>15580723.412802638</v>
      </c>
      <c r="Q114" s="12">
        <f t="shared" si="15"/>
        <v>177554815.7577824</v>
      </c>
      <c r="R114" s="12">
        <f t="shared" si="16"/>
        <v>628839.97247547936</v>
      </c>
      <c r="S114" s="12">
        <f t="shared" si="17"/>
        <v>176925975.78530693</v>
      </c>
      <c r="T114" t="b">
        <f t="shared" si="18"/>
        <v>1</v>
      </c>
      <c r="U114" s="12">
        <f t="shared" si="19"/>
        <v>53266444.727334715</v>
      </c>
      <c r="V114" s="12">
        <f>IF($T114=TRUE, $Q114*$C$8, $K114)</f>
        <v>26633222.363667358</v>
      </c>
      <c r="W114" s="12">
        <f>IF($T114=TRUE, $Q114*$C$9, $L114)</f>
        <v>8877740.7878891211</v>
      </c>
      <c r="X114" s="12">
        <f>IF($T114=TRUE, $Q114*$C$10, $M114)</f>
        <v>35510963.151556484</v>
      </c>
      <c r="Y114" s="12">
        <f>IF($T114=TRUE, $Q114*$C$11, $N114)</f>
        <v>17755481.575778242</v>
      </c>
      <c r="Z114" s="12">
        <f>IF($T114=TRUE, $Q114*$C$12, $O114)</f>
        <v>17755481.575778242</v>
      </c>
      <c r="AA114" s="12">
        <f>IF($T114=TRUE, $Q114*$C$13, $P114)</f>
        <v>17755481.575778242</v>
      </c>
      <c r="AB114" s="12">
        <f>U114-(1-$B$3)</f>
        <v>53266443.730876379</v>
      </c>
      <c r="AC114" s="12">
        <f t="shared" si="13"/>
        <v>26538896.367796037</v>
      </c>
      <c r="AD114" s="12">
        <f t="shared" si="13"/>
        <v>8846298.7892653476</v>
      </c>
      <c r="AE114" s="12">
        <f t="shared" si="13"/>
        <v>35385195.157061391</v>
      </c>
      <c r="AF114" s="12">
        <f t="shared" si="12"/>
        <v>17692597.578530695</v>
      </c>
      <c r="AG114" s="12">
        <f t="shared" si="12"/>
        <v>17692597.578530695</v>
      </c>
      <c r="AH114" s="12">
        <f t="shared" si="12"/>
        <v>17692597.578530695</v>
      </c>
      <c r="AI114" s="12">
        <f t="shared" si="20"/>
        <v>177114626.78059125</v>
      </c>
    </row>
    <row r="115" spans="1:35" x14ac:dyDescent="0.2">
      <c r="A115" s="1">
        <f>Returns!A102</f>
        <v>45473</v>
      </c>
      <c r="B115" s="20">
        <f t="shared" si="21"/>
        <v>176925975.78530693</v>
      </c>
      <c r="C115" s="18">
        <f t="shared" si="22"/>
        <v>0.50740006569341156</v>
      </c>
      <c r="D115" s="18">
        <f t="shared" si="14"/>
        <v>0.13653445164299777</v>
      </c>
      <c r="E115" s="18">
        <f t="shared" si="14"/>
        <v>4.1039747653645549E-2</v>
      </c>
      <c r="F115" s="18">
        <f t="shared" si="14"/>
        <v>0.10312629524658358</v>
      </c>
      <c r="G115" s="18">
        <f t="shared" si="14"/>
        <v>5.8641659338549028E-2</v>
      </c>
      <c r="H115" s="18">
        <f t="shared" si="14"/>
        <v>7.1211159825372086E-2</v>
      </c>
      <c r="I115" s="18">
        <f t="shared" si="14"/>
        <v>8.204662059944047E-2</v>
      </c>
      <c r="J115" s="12">
        <f>J114*(1+Returns!B102)</f>
        <v>91578053.337863043</v>
      </c>
      <c r="K115" s="12">
        <f>K114*(1+Returns!C102)</f>
        <v>24642407.71812081</v>
      </c>
      <c r="L115" s="12">
        <f>L114*(1+Returns!D102)</f>
        <v>7407055.0118314512</v>
      </c>
      <c r="M115" s="12">
        <f>M114*(1+Returns!E102)</f>
        <v>18612739.739640266</v>
      </c>
      <c r="N115" s="12">
        <f>N114*(1+Returns!F102)</f>
        <v>10583934.393834606</v>
      </c>
      <c r="O115" s="12">
        <f>O114*(1+Returns!G102)</f>
        <v>12852539.512045423</v>
      </c>
      <c r="P115" s="12">
        <f>P114*(1+Returns!H102)</f>
        <v>14808176.63509525</v>
      </c>
      <c r="Q115" s="12">
        <f t="shared" si="15"/>
        <v>180484906.34843084</v>
      </c>
      <c r="R115" s="12">
        <f t="shared" si="16"/>
        <v>639217.37665069266</v>
      </c>
      <c r="S115" s="12">
        <f t="shared" si="17"/>
        <v>179845688.97178015</v>
      </c>
      <c r="T115" t="b">
        <f t="shared" si="18"/>
        <v>1</v>
      </c>
      <c r="U115" s="12">
        <f t="shared" si="19"/>
        <v>54145471.904529251</v>
      </c>
      <c r="V115" s="12">
        <f>IF($T115=TRUE, $Q115*$C$8, $K115)</f>
        <v>27072735.952264626</v>
      </c>
      <c r="W115" s="12">
        <f>IF($T115=TRUE, $Q115*$C$9, $L115)</f>
        <v>9024245.3174215425</v>
      </c>
      <c r="X115" s="12">
        <f>IF($T115=TRUE, $Q115*$C$10, $M115)</f>
        <v>36096981.26968617</v>
      </c>
      <c r="Y115" s="12">
        <f>IF($T115=TRUE, $Q115*$C$11, $N115)</f>
        <v>18048490.634843085</v>
      </c>
      <c r="Z115" s="12">
        <f>IF($T115=TRUE, $Q115*$C$12, $O115)</f>
        <v>18048490.634843085</v>
      </c>
      <c r="AA115" s="12">
        <f>IF($T115=TRUE, $Q115*$C$13, $P115)</f>
        <v>18048490.634843085</v>
      </c>
      <c r="AB115" s="12">
        <f>U115-(1-$B$3)</f>
        <v>54145470.908070914</v>
      </c>
      <c r="AC115" s="12">
        <f t="shared" si="13"/>
        <v>26976853.345767021</v>
      </c>
      <c r="AD115" s="12">
        <f t="shared" si="13"/>
        <v>8992284.4485890083</v>
      </c>
      <c r="AE115" s="12">
        <f t="shared" si="13"/>
        <v>35969137.794356033</v>
      </c>
      <c r="AF115" s="12">
        <f t="shared" si="12"/>
        <v>17984568.897178017</v>
      </c>
      <c r="AG115" s="12">
        <f t="shared" si="12"/>
        <v>17984568.897178017</v>
      </c>
      <c r="AH115" s="12">
        <f t="shared" si="12"/>
        <v>17984568.897178017</v>
      </c>
      <c r="AI115" s="12">
        <f t="shared" si="20"/>
        <v>180037453.18831706</v>
      </c>
    </row>
    <row r="116" spans="1:35" x14ac:dyDescent="0.2">
      <c r="A116" s="1">
        <f>Returns!A103</f>
        <v>45504</v>
      </c>
      <c r="B116" s="20">
        <f t="shared" si="21"/>
        <v>179845688.97178015</v>
      </c>
      <c r="C116" s="18">
        <f t="shared" si="22"/>
        <v>0.50181546797784293</v>
      </c>
      <c r="D116" s="18">
        <f t="shared" si="14"/>
        <v>0.13687584706522971</v>
      </c>
      <c r="E116" s="18">
        <f t="shared" si="14"/>
        <v>4.0442013163034321E-2</v>
      </c>
      <c r="F116" s="18">
        <f t="shared" si="14"/>
        <v>0.10337658780575018</v>
      </c>
      <c r="G116" s="18">
        <f t="shared" si="14"/>
        <v>5.8608482698404074E-2</v>
      </c>
      <c r="H116" s="18">
        <f t="shared" si="14"/>
        <v>7.5110495619874568E-2</v>
      </c>
      <c r="I116" s="18">
        <f t="shared" si="14"/>
        <v>8.3771105669864065E-2</v>
      </c>
      <c r="J116" s="12">
        <f>J115*(1+Returns!B103)</f>
        <v>92685578.393069416</v>
      </c>
      <c r="K116" s="12">
        <f>K115*(1+Returns!C103)</f>
        <v>25281040.268456381</v>
      </c>
      <c r="L116" s="12">
        <f>L115*(1+Returns!D103)</f>
        <v>7469660.9024444595</v>
      </c>
      <c r="M116" s="12">
        <f>M115*(1+Returns!E103)</f>
        <v>19093709.629335187</v>
      </c>
      <c r="N116" s="12">
        <f>N115*(1+Returns!F103)</f>
        <v>10825017.290781548</v>
      </c>
      <c r="O116" s="12">
        <f>O115*(1+Returns!G103)</f>
        <v>13872947.675310729</v>
      </c>
      <c r="P116" s="12">
        <f>P115*(1+Returns!H103)</f>
        <v>15472566.863923604</v>
      </c>
      <c r="Q116" s="12">
        <f t="shared" si="15"/>
        <v>184700521.02332136</v>
      </c>
      <c r="R116" s="12">
        <f t="shared" si="16"/>
        <v>654147.67862426315</v>
      </c>
      <c r="S116" s="12">
        <f t="shared" si="17"/>
        <v>184046373.34469709</v>
      </c>
      <c r="T116" t="b">
        <f t="shared" si="18"/>
        <v>1</v>
      </c>
      <c r="U116" s="12">
        <f t="shared" si="19"/>
        <v>55410156.306996405</v>
      </c>
      <c r="V116" s="12">
        <f>IF($T116=TRUE, $Q116*$C$8, $K116)</f>
        <v>27705078.153498203</v>
      </c>
      <c r="W116" s="12">
        <f>IF($T116=TRUE, $Q116*$C$9, $L116)</f>
        <v>9235026.0511660688</v>
      </c>
      <c r="X116" s="12">
        <f>IF($T116=TRUE, $Q116*$C$10, $M116)</f>
        <v>36940104.204664275</v>
      </c>
      <c r="Y116" s="12">
        <f>IF($T116=TRUE, $Q116*$C$11, $N116)</f>
        <v>18470052.102332138</v>
      </c>
      <c r="Z116" s="12">
        <f>IF($T116=TRUE, $Q116*$C$12, $O116)</f>
        <v>18470052.102332138</v>
      </c>
      <c r="AA116" s="12">
        <f>IF($T116=TRUE, $Q116*$C$13, $P116)</f>
        <v>18470052.102332138</v>
      </c>
      <c r="AB116" s="12">
        <f>U116-(1-$B$3)</f>
        <v>55410155.310538068</v>
      </c>
      <c r="AC116" s="12">
        <f t="shared" si="13"/>
        <v>27606956.001704562</v>
      </c>
      <c r="AD116" s="12">
        <f t="shared" si="13"/>
        <v>9202318.6672348548</v>
      </c>
      <c r="AE116" s="12">
        <f t="shared" si="13"/>
        <v>36809274.668939419</v>
      </c>
      <c r="AF116" s="12">
        <f t="shared" si="12"/>
        <v>18404637.33446971</v>
      </c>
      <c r="AG116" s="12">
        <f t="shared" si="12"/>
        <v>18404637.33446971</v>
      </c>
      <c r="AH116" s="12">
        <f t="shared" si="12"/>
        <v>18404637.33446971</v>
      </c>
      <c r="AI116" s="12">
        <f t="shared" si="20"/>
        <v>184242616.65182602</v>
      </c>
    </row>
    <row r="117" spans="1:35" x14ac:dyDescent="0.2">
      <c r="A117" s="1">
        <f>Returns!A104</f>
        <v>45535</v>
      </c>
      <c r="B117" s="20">
        <f t="shared" si="21"/>
        <v>184046373.34469709</v>
      </c>
      <c r="C117" s="18">
        <f t="shared" si="22"/>
        <v>0.5004081352331835</v>
      </c>
      <c r="D117" s="18">
        <f t="shared" si="14"/>
        <v>0.13772386692453623</v>
      </c>
      <c r="E117" s="18">
        <f t="shared" si="14"/>
        <v>3.9793089955706629E-2</v>
      </c>
      <c r="F117" s="18">
        <f t="shared" si="14"/>
        <v>0.1017813759895051</v>
      </c>
      <c r="G117" s="18">
        <f t="shared" si="14"/>
        <v>5.7969717122227468E-2</v>
      </c>
      <c r="H117" s="18">
        <f t="shared" si="14"/>
        <v>7.7010606017619596E-2</v>
      </c>
      <c r="I117" s="18">
        <f t="shared" si="14"/>
        <v>8.5313208757221676E-2</v>
      </c>
      <c r="J117" s="12">
        <f>J116*(1+Returns!B104)</f>
        <v>94851367.419738337</v>
      </c>
      <c r="K117" s="12">
        <f>K116*(1+Returns!C104)</f>
        <v>26105285.234899335</v>
      </c>
      <c r="L117" s="12">
        <f>L116*(1+Returns!D104)</f>
        <v>7542701.1081596334</v>
      </c>
      <c r="M117" s="12">
        <f>M116*(1+Returns!E104)</f>
        <v>19292457.517638873</v>
      </c>
      <c r="N117" s="12">
        <f>N116*(1+Returns!F104)</f>
        <v>10988044.65961862</v>
      </c>
      <c r="O117" s="12">
        <f>O116*(1+Returns!G104)</f>
        <v>14597207.303974226</v>
      </c>
      <c r="P117" s="12">
        <f>P116*(1+Returns!H104)</f>
        <v>16170949.150971083</v>
      </c>
      <c r="Q117" s="12">
        <f t="shared" si="15"/>
        <v>189548012.39500007</v>
      </c>
      <c r="R117" s="12">
        <f t="shared" si="16"/>
        <v>671315.87723229197</v>
      </c>
      <c r="S117" s="12">
        <f t="shared" si="17"/>
        <v>188876696.51776779</v>
      </c>
      <c r="T117" t="b">
        <f t="shared" si="18"/>
        <v>1</v>
      </c>
      <c r="U117" s="12">
        <f t="shared" si="19"/>
        <v>56864403.718500018</v>
      </c>
      <c r="V117" s="12">
        <f>IF($T117=TRUE, $Q117*$C$8, $K117)</f>
        <v>28432201.859250009</v>
      </c>
      <c r="W117" s="12">
        <f>IF($T117=TRUE, $Q117*$C$9, $L117)</f>
        <v>9477400.6197500043</v>
      </c>
      <c r="X117" s="12">
        <f>IF($T117=TRUE, $Q117*$C$10, $M117)</f>
        <v>37909602.479000017</v>
      </c>
      <c r="Y117" s="12">
        <f>IF($T117=TRUE, $Q117*$C$11, $N117)</f>
        <v>18954801.239500009</v>
      </c>
      <c r="Z117" s="12">
        <f>IF($T117=TRUE, $Q117*$C$12, $O117)</f>
        <v>18954801.239500009</v>
      </c>
      <c r="AA117" s="12">
        <f>IF($T117=TRUE, $Q117*$C$13, $P117)</f>
        <v>18954801.239500009</v>
      </c>
      <c r="AB117" s="12">
        <f>U117-(1-$B$3)</f>
        <v>56864402.722041681</v>
      </c>
      <c r="AC117" s="12">
        <f t="shared" si="13"/>
        <v>28331504.477665164</v>
      </c>
      <c r="AD117" s="12">
        <f t="shared" si="13"/>
        <v>9443834.8258883897</v>
      </c>
      <c r="AE117" s="12">
        <f t="shared" si="13"/>
        <v>37775339.303553559</v>
      </c>
      <c r="AF117" s="12">
        <f t="shared" si="12"/>
        <v>18887669.651776779</v>
      </c>
      <c r="AG117" s="12">
        <f t="shared" si="12"/>
        <v>18887669.651776779</v>
      </c>
      <c r="AH117" s="12">
        <f t="shared" si="12"/>
        <v>18887669.651776779</v>
      </c>
      <c r="AI117" s="12">
        <f t="shared" si="20"/>
        <v>189078090.28447917</v>
      </c>
    </row>
    <row r="118" spans="1:35" x14ac:dyDescent="0.2">
      <c r="A118" s="1">
        <f>Returns!A105</f>
        <v>45565</v>
      </c>
      <c r="B118" s="20">
        <f t="shared" si="21"/>
        <v>188876696.51776779</v>
      </c>
      <c r="C118" s="18">
        <f t="shared" si="22"/>
        <v>0.50032501523513273</v>
      </c>
      <c r="D118" s="18">
        <f t="shared" ref="D118:I135" si="23">K118/$Q118</f>
        <v>0.1359242939367058</v>
      </c>
      <c r="E118" s="18">
        <f t="shared" si="23"/>
        <v>4.1205114086773541E-2</v>
      </c>
      <c r="F118" s="18">
        <f t="shared" si="23"/>
        <v>0.1007488364394984</v>
      </c>
      <c r="G118" s="18">
        <f t="shared" si="23"/>
        <v>5.7671085004156707E-2</v>
      </c>
      <c r="H118" s="18">
        <f t="shared" si="23"/>
        <v>7.7228994566199125E-2</v>
      </c>
      <c r="I118" s="18">
        <f t="shared" si="23"/>
        <v>8.6896660731533695E-2</v>
      </c>
      <c r="J118" s="12">
        <f>J117*(1+Returns!B105)</f>
        <v>96843893.324273765</v>
      </c>
      <c r="K118" s="12">
        <f>K117*(1+Returns!C105)</f>
        <v>26309773.489932891</v>
      </c>
      <c r="L118" s="12">
        <f>L117*(1+Returns!D105)</f>
        <v>7975742.8701794343</v>
      </c>
      <c r="M118" s="12">
        <f>M117*(1+Returns!E105)</f>
        <v>19501142.800357744</v>
      </c>
      <c r="N118" s="12">
        <f>N117*(1+Returns!F105)</f>
        <v>11162928.564371115</v>
      </c>
      <c r="O118" s="12">
        <f>O117*(1+Returns!G105)</f>
        <v>14948595.979745287</v>
      </c>
      <c r="P118" s="12">
        <f>P117*(1+Returns!H105)</f>
        <v>16819888.44424529</v>
      </c>
      <c r="Q118" s="12">
        <f t="shared" si="15"/>
        <v>193561965.47310552</v>
      </c>
      <c r="R118" s="12">
        <f t="shared" si="16"/>
        <v>685531.96105058212</v>
      </c>
      <c r="S118" s="12">
        <f t="shared" si="17"/>
        <v>192876433.51205495</v>
      </c>
      <c r="T118" t="b">
        <f t="shared" si="18"/>
        <v>1</v>
      </c>
      <c r="U118" s="12">
        <f t="shared" si="19"/>
        <v>58068589.641931653</v>
      </c>
      <c r="V118" s="12">
        <f>IF($T118=TRUE, $Q118*$C$8, $K118)</f>
        <v>29034294.820965827</v>
      </c>
      <c r="W118" s="12">
        <f>IF($T118=TRUE, $Q118*$C$9, $L118)</f>
        <v>9678098.2736552767</v>
      </c>
      <c r="X118" s="12">
        <f>IF($T118=TRUE, $Q118*$C$10, $M118)</f>
        <v>38712393.094621107</v>
      </c>
      <c r="Y118" s="12">
        <f>IF($T118=TRUE, $Q118*$C$11, $N118)</f>
        <v>19356196.547310553</v>
      </c>
      <c r="Z118" s="12">
        <f>IF($T118=TRUE, $Q118*$C$12, $O118)</f>
        <v>19356196.547310553</v>
      </c>
      <c r="AA118" s="12">
        <f>IF($T118=TRUE, $Q118*$C$13, $P118)</f>
        <v>19356196.547310553</v>
      </c>
      <c r="AB118" s="12">
        <f>U118-(1-$B$3)</f>
        <v>58068588.645473316</v>
      </c>
      <c r="AC118" s="12">
        <f t="shared" si="13"/>
        <v>28931465.02680824</v>
      </c>
      <c r="AD118" s="12">
        <f t="shared" si="13"/>
        <v>9643821.6756027471</v>
      </c>
      <c r="AE118" s="12">
        <f t="shared" si="13"/>
        <v>38575286.702410989</v>
      </c>
      <c r="AF118" s="12">
        <f t="shared" si="12"/>
        <v>19287643.351205494</v>
      </c>
      <c r="AG118" s="12">
        <f t="shared" si="12"/>
        <v>19287643.351205494</v>
      </c>
      <c r="AH118" s="12">
        <f t="shared" si="12"/>
        <v>19287643.351205494</v>
      </c>
      <c r="AI118" s="12">
        <f t="shared" si="20"/>
        <v>193082092.10391179</v>
      </c>
    </row>
    <row r="119" spans="1:35" x14ac:dyDescent="0.2">
      <c r="A119" s="1">
        <f>Returns!A106</f>
        <v>45596</v>
      </c>
      <c r="B119" s="20">
        <f t="shared" si="21"/>
        <v>192876433.51205495</v>
      </c>
      <c r="C119" s="18">
        <f t="shared" si="22"/>
        <v>0.50719094357642402</v>
      </c>
      <c r="D119" s="18">
        <f t="shared" si="23"/>
        <v>0.13169942210070668</v>
      </c>
      <c r="E119" s="18">
        <f t="shared" si="23"/>
        <v>4.0851090281130854E-2</v>
      </c>
      <c r="F119" s="18">
        <f t="shared" si="23"/>
        <v>9.9270510400883596E-2</v>
      </c>
      <c r="G119" s="18">
        <f t="shared" si="23"/>
        <v>5.6905893481732035E-2</v>
      </c>
      <c r="H119" s="18">
        <f t="shared" si="23"/>
        <v>7.6342542976526331E-2</v>
      </c>
      <c r="I119" s="18">
        <f t="shared" si="23"/>
        <v>8.7739597182596482E-2</v>
      </c>
      <c r="J119" s="12">
        <f>J118*(1+Returns!B106)</f>
        <v>95979276.371666327</v>
      </c>
      <c r="K119" s="12">
        <f>K118*(1+Returns!C106)</f>
        <v>24922399.328859065</v>
      </c>
      <c r="L119" s="12">
        <f>L118*(1+Returns!D106)</f>
        <v>7730536.4652784895</v>
      </c>
      <c r="M119" s="12">
        <f>M118*(1+Returns!E106)</f>
        <v>18785650.402464468</v>
      </c>
      <c r="N119" s="12">
        <f>N118*(1+Returns!F106)</f>
        <v>10768698.745183287</v>
      </c>
      <c r="O119" s="12">
        <f>O118*(1+Returns!G106)</f>
        <v>14446831.364124604</v>
      </c>
      <c r="P119" s="12">
        <f>P118*(1+Returns!H106)</f>
        <v>16603575.34648722</v>
      </c>
      <c r="Q119" s="12">
        <f t="shared" si="15"/>
        <v>189236968.02406347</v>
      </c>
      <c r="R119" s="12">
        <f t="shared" si="16"/>
        <v>670214.26175189146</v>
      </c>
      <c r="S119" s="12">
        <f t="shared" si="17"/>
        <v>188566753.76231158</v>
      </c>
      <c r="T119" t="b">
        <f t="shared" si="18"/>
        <v>1</v>
      </c>
      <c r="U119" s="12">
        <f t="shared" si="19"/>
        <v>56771090.407219037</v>
      </c>
      <c r="V119" s="12">
        <f>IF($T119=TRUE, $Q119*$C$8, $K119)</f>
        <v>28385545.203609519</v>
      </c>
      <c r="W119" s="12">
        <f>IF($T119=TRUE, $Q119*$C$9, $L119)</f>
        <v>9461848.4012031741</v>
      </c>
      <c r="X119" s="12">
        <f>IF($T119=TRUE, $Q119*$C$10, $M119)</f>
        <v>37847393.604812697</v>
      </c>
      <c r="Y119" s="12">
        <f>IF($T119=TRUE, $Q119*$C$11, $N119)</f>
        <v>18923696.802406348</v>
      </c>
      <c r="Z119" s="12">
        <f>IF($T119=TRUE, $Q119*$C$12, $O119)</f>
        <v>18923696.802406348</v>
      </c>
      <c r="AA119" s="12">
        <f>IF($T119=TRUE, $Q119*$C$13, $P119)</f>
        <v>18923696.802406348</v>
      </c>
      <c r="AB119" s="12">
        <f>U119-(1-$B$3)</f>
        <v>56771089.410760701</v>
      </c>
      <c r="AC119" s="12">
        <f t="shared" si="13"/>
        <v>28285013.064346734</v>
      </c>
      <c r="AD119" s="12">
        <f t="shared" si="13"/>
        <v>9428337.68811558</v>
      </c>
      <c r="AE119" s="12">
        <f t="shared" si="13"/>
        <v>37713350.75246232</v>
      </c>
      <c r="AF119" s="12">
        <f t="shared" si="12"/>
        <v>18856675.37623116</v>
      </c>
      <c r="AG119" s="12">
        <f t="shared" si="12"/>
        <v>18856675.37623116</v>
      </c>
      <c r="AH119" s="12">
        <f t="shared" si="12"/>
        <v>18856675.37623116</v>
      </c>
      <c r="AI119" s="12">
        <f t="shared" si="20"/>
        <v>188767817.04437882</v>
      </c>
    </row>
    <row r="120" spans="1:35" x14ac:dyDescent="0.2">
      <c r="A120" s="1">
        <f>Returns!A107</f>
        <v>45626</v>
      </c>
      <c r="B120" s="20">
        <f t="shared" si="21"/>
        <v>188566753.76231158</v>
      </c>
      <c r="C120" s="18">
        <f t="shared" si="22"/>
        <v>0.51840157194457925</v>
      </c>
      <c r="D120" s="18">
        <f t="shared" si="23"/>
        <v>0.12663287776627211</v>
      </c>
      <c r="E120" s="18">
        <f t="shared" si="23"/>
        <v>3.8348911395078449E-2</v>
      </c>
      <c r="F120" s="18">
        <f t="shared" si="23"/>
        <v>9.6432444481848886E-2</v>
      </c>
      <c r="G120" s="18">
        <f t="shared" si="23"/>
        <v>5.5675566946359667E-2</v>
      </c>
      <c r="H120" s="18">
        <f t="shared" si="23"/>
        <v>7.6774351166555732E-2</v>
      </c>
      <c r="I120" s="18">
        <f t="shared" si="23"/>
        <v>8.7734276299305913E-2</v>
      </c>
      <c r="J120" s="12">
        <f>J119*(1+Returns!B107)</f>
        <v>101703754.03431284</v>
      </c>
      <c r="K120" s="12">
        <f>K119*(1+Returns!C107)</f>
        <v>24843750.000000004</v>
      </c>
      <c r="L120" s="12">
        <f>L119*(1+Returns!D107)</f>
        <v>7523565.6353790481</v>
      </c>
      <c r="M120" s="12">
        <f>M119*(1+Returns!E107)</f>
        <v>18918811.487627938</v>
      </c>
      <c r="N120" s="12">
        <f>N119*(1+Returns!F107)</f>
        <v>10922833.712083792</v>
      </c>
      <c r="O120" s="12">
        <f>O119*(1+Returns!G107)</f>
        <v>15062145.15881541</v>
      </c>
      <c r="P120" s="12">
        <f>P119*(1+Returns!H107)</f>
        <v>17212342.207320645</v>
      </c>
      <c r="Q120" s="12">
        <f t="shared" si="15"/>
        <v>196187202.23553967</v>
      </c>
      <c r="R120" s="12">
        <f t="shared" si="16"/>
        <v>694829.67458420305</v>
      </c>
      <c r="S120" s="12">
        <f t="shared" si="17"/>
        <v>195492372.56095546</v>
      </c>
      <c r="T120" t="b">
        <f t="shared" si="18"/>
        <v>1</v>
      </c>
      <c r="U120" s="12">
        <f t="shared" si="19"/>
        <v>58856160.670661904</v>
      </c>
      <c r="V120" s="12">
        <f>IF($T120=TRUE, $Q120*$C$8, $K120)</f>
        <v>29428080.335330952</v>
      </c>
      <c r="W120" s="12">
        <f>IF($T120=TRUE, $Q120*$C$9, $L120)</f>
        <v>9809360.1117769834</v>
      </c>
      <c r="X120" s="12">
        <f>IF($T120=TRUE, $Q120*$C$10, $M120)</f>
        <v>39237440.447107933</v>
      </c>
      <c r="Y120" s="12">
        <f>IF($T120=TRUE, $Q120*$C$11, $N120)</f>
        <v>19618720.223553967</v>
      </c>
      <c r="Z120" s="12">
        <f>IF($T120=TRUE, $Q120*$C$12, $O120)</f>
        <v>19618720.223553967</v>
      </c>
      <c r="AA120" s="12">
        <f>IF($T120=TRUE, $Q120*$C$13, $P120)</f>
        <v>19618720.223553967</v>
      </c>
      <c r="AB120" s="12">
        <f>U120-(1-$B$3)</f>
        <v>58856159.674203567</v>
      </c>
      <c r="AC120" s="12">
        <f t="shared" si="13"/>
        <v>29323855.884143323</v>
      </c>
      <c r="AD120" s="12">
        <f t="shared" si="13"/>
        <v>9774618.6280477736</v>
      </c>
      <c r="AE120" s="12">
        <f t="shared" si="13"/>
        <v>39098474.512191094</v>
      </c>
      <c r="AF120" s="12">
        <f t="shared" si="12"/>
        <v>19549237.256095547</v>
      </c>
      <c r="AG120" s="12">
        <f t="shared" si="12"/>
        <v>19549237.256095547</v>
      </c>
      <c r="AH120" s="12">
        <f t="shared" si="12"/>
        <v>19549237.256095547</v>
      </c>
      <c r="AI120" s="12">
        <f t="shared" si="20"/>
        <v>195700820.46687245</v>
      </c>
    </row>
    <row r="121" spans="1:35" x14ac:dyDescent="0.2">
      <c r="A121" s="1">
        <f>Returns!A108</f>
        <v>45657</v>
      </c>
      <c r="B121" s="20">
        <f t="shared" si="21"/>
        <v>195492372.56095546</v>
      </c>
      <c r="C121" s="18">
        <f t="shared" si="22"/>
        <v>0.52463526760246482</v>
      </c>
      <c r="D121" s="18">
        <f t="shared" si="23"/>
        <v>0.12572887122244583</v>
      </c>
      <c r="E121" s="18">
        <f t="shared" si="23"/>
        <v>3.9092795771801629E-2</v>
      </c>
      <c r="F121" s="18">
        <f t="shared" si="23"/>
        <v>9.712034234763707E-2</v>
      </c>
      <c r="G121" s="18">
        <f t="shared" si="23"/>
        <v>5.579704772839774E-2</v>
      </c>
      <c r="H121" s="18">
        <f t="shared" si="23"/>
        <v>7.2249235086488686E-2</v>
      </c>
      <c r="I121" s="18">
        <f t="shared" si="23"/>
        <v>8.5376440240764323E-2</v>
      </c>
      <c r="J121" s="12">
        <f>J120*(1+Returns!B108)</f>
        <v>99255987.769661918</v>
      </c>
      <c r="K121" s="12">
        <f>K120*(1+Returns!C108)</f>
        <v>23786703.020134233</v>
      </c>
      <c r="L121" s="12">
        <f>L120*(1+Returns!D108)</f>
        <v>7395984.026655253</v>
      </c>
      <c r="M121" s="12">
        <f>M120*(1+Returns!E108)</f>
        <v>18374242.273675837</v>
      </c>
      <c r="N121" s="12">
        <f>N120*(1+Returns!F108)</f>
        <v>10556269.143365286</v>
      </c>
      <c r="O121" s="12">
        <f>O120*(1+Returns!G108)</f>
        <v>13668866.042657668</v>
      </c>
      <c r="P121" s="12">
        <f>P120*(1+Returns!H108)</f>
        <v>16152408.028306108</v>
      </c>
      <c r="Q121" s="12">
        <f t="shared" si="15"/>
        <v>189190460.30445629</v>
      </c>
      <c r="R121" s="12">
        <f t="shared" si="16"/>
        <v>670049.54691161611</v>
      </c>
      <c r="S121" s="12">
        <f t="shared" si="17"/>
        <v>188520410.75754467</v>
      </c>
      <c r="T121" t="b">
        <f t="shared" si="18"/>
        <v>1</v>
      </c>
      <c r="U121" s="12">
        <f t="shared" si="19"/>
        <v>56757138.091336884</v>
      </c>
      <c r="V121" s="12">
        <f>IF($T121=TRUE, $Q121*$C$8, $K121)</f>
        <v>28378569.045668442</v>
      </c>
      <c r="W121" s="12">
        <f>IF($T121=TRUE, $Q121*$C$9, $L121)</f>
        <v>9459523.0152228158</v>
      </c>
      <c r="X121" s="12">
        <f>IF($T121=TRUE, $Q121*$C$10, $M121)</f>
        <v>37838092.060891263</v>
      </c>
      <c r="Y121" s="12">
        <f>IF($T121=TRUE, $Q121*$C$11, $N121)</f>
        <v>18919046.030445632</v>
      </c>
      <c r="Z121" s="12">
        <f>IF($T121=TRUE, $Q121*$C$12, $O121)</f>
        <v>18919046.030445632</v>
      </c>
      <c r="AA121" s="12">
        <f>IF($T121=TRUE, $Q121*$C$13, $P121)</f>
        <v>18919046.030445632</v>
      </c>
      <c r="AB121" s="12">
        <f>U121-(1-$B$3)</f>
        <v>56757137.094878547</v>
      </c>
      <c r="AC121" s="12">
        <f t="shared" si="13"/>
        <v>28278061.613631699</v>
      </c>
      <c r="AD121" s="12">
        <f t="shared" si="13"/>
        <v>9426020.5378772356</v>
      </c>
      <c r="AE121" s="12">
        <f t="shared" si="13"/>
        <v>37704082.151508942</v>
      </c>
      <c r="AF121" s="12">
        <f t="shared" si="12"/>
        <v>18852041.075754471</v>
      </c>
      <c r="AG121" s="12">
        <f t="shared" si="12"/>
        <v>18852041.075754471</v>
      </c>
      <c r="AH121" s="12">
        <f t="shared" si="12"/>
        <v>18852041.075754471</v>
      </c>
      <c r="AI121" s="12">
        <f t="shared" si="20"/>
        <v>188721424.62515983</v>
      </c>
    </row>
    <row r="122" spans="1:35" x14ac:dyDescent="0.2">
      <c r="A122" s="1">
        <f>Returns!A109</f>
        <v>45688</v>
      </c>
      <c r="B122" s="20">
        <f t="shared" si="21"/>
        <v>188520410.75754467</v>
      </c>
      <c r="C122" s="18">
        <f t="shared" si="22"/>
        <v>0.52580142380952666</v>
      </c>
      <c r="D122" s="18">
        <f t="shared" si="23"/>
        <v>0.12860253995328241</v>
      </c>
      <c r="E122" s="18">
        <f t="shared" si="23"/>
        <v>3.8975639263011223E-2</v>
      </c>
      <c r="F122" s="18">
        <f t="shared" si="23"/>
        <v>9.5373764523706286E-2</v>
      </c>
      <c r="G122" s="18">
        <f t="shared" si="23"/>
        <v>5.4773876513199676E-2</v>
      </c>
      <c r="H122" s="18">
        <f t="shared" si="23"/>
        <v>7.1678812311566323E-2</v>
      </c>
      <c r="I122" s="18">
        <f t="shared" si="23"/>
        <v>8.4793943625707524E-2</v>
      </c>
      <c r="J122" s="12">
        <f>J121*(1+Returns!B109)</f>
        <v>101922880.92406993</v>
      </c>
      <c r="K122" s="12">
        <f>K121*(1+Returns!C109)</f>
        <v>24928691.275167789</v>
      </c>
      <c r="L122" s="12">
        <f>L121*(1+Returns!D109)</f>
        <v>7555151.5451628985</v>
      </c>
      <c r="M122" s="12">
        <f>M121*(1+Returns!E109)</f>
        <v>18487528.570008937</v>
      </c>
      <c r="N122" s="12">
        <f>N121*(1+Returns!F109)</f>
        <v>10617527.912261641</v>
      </c>
      <c r="O122" s="12">
        <f>O121*(1+Returns!G109)</f>
        <v>13894429.952432102</v>
      </c>
      <c r="P122" s="12">
        <f>P121*(1+Returns!H109)</f>
        <v>16436705.242502427</v>
      </c>
      <c r="Q122" s="12">
        <f t="shared" si="15"/>
        <v>193842915.42160571</v>
      </c>
      <c r="R122" s="12">
        <f t="shared" si="16"/>
        <v>686526.9921181869</v>
      </c>
      <c r="S122" s="12">
        <f t="shared" si="17"/>
        <v>193156388.42948753</v>
      </c>
      <c r="T122" t="b">
        <f t="shared" si="18"/>
        <v>1</v>
      </c>
      <c r="U122" s="12">
        <f t="shared" si="19"/>
        <v>58152874.626481712</v>
      </c>
      <c r="V122" s="12">
        <f>IF($T122=TRUE, $Q122*$C$8, $K122)</f>
        <v>29076437.313240856</v>
      </c>
      <c r="W122" s="12">
        <f>IF($T122=TRUE, $Q122*$C$9, $L122)</f>
        <v>9692145.7710802853</v>
      </c>
      <c r="X122" s="12">
        <f>IF($T122=TRUE, $Q122*$C$10, $M122)</f>
        <v>38768583.084321141</v>
      </c>
      <c r="Y122" s="12">
        <f>IF($T122=TRUE, $Q122*$C$11, $N122)</f>
        <v>19384291.542160571</v>
      </c>
      <c r="Z122" s="12">
        <f>IF($T122=TRUE, $Q122*$C$12, $O122)</f>
        <v>19384291.542160571</v>
      </c>
      <c r="AA122" s="12">
        <f>IF($T122=TRUE, $Q122*$C$13, $P122)</f>
        <v>19384291.542160571</v>
      </c>
      <c r="AB122" s="12">
        <f>U122-(1-$B$3)</f>
        <v>58152873.630023375</v>
      </c>
      <c r="AC122" s="12">
        <f t="shared" si="13"/>
        <v>28973458.264423128</v>
      </c>
      <c r="AD122" s="12">
        <f t="shared" si="13"/>
        <v>9657819.4214743767</v>
      </c>
      <c r="AE122" s="12">
        <f t="shared" si="13"/>
        <v>38631277.685897507</v>
      </c>
      <c r="AF122" s="12">
        <f t="shared" si="12"/>
        <v>19315638.842948753</v>
      </c>
      <c r="AG122" s="12">
        <f t="shared" si="12"/>
        <v>19315638.842948753</v>
      </c>
      <c r="AH122" s="12">
        <f t="shared" si="12"/>
        <v>19315638.842948753</v>
      </c>
      <c r="AI122" s="12">
        <f t="shared" si="20"/>
        <v>193362345.53066468</v>
      </c>
    </row>
    <row r="123" spans="1:35" x14ac:dyDescent="0.2">
      <c r="A123" s="1">
        <f>Returns!A110</f>
        <v>45716</v>
      </c>
      <c r="B123" s="20">
        <f t="shared" si="21"/>
        <v>193156388.42948753</v>
      </c>
      <c r="C123" s="18">
        <f t="shared" si="22"/>
        <v>0.51699416432461953</v>
      </c>
      <c r="D123" s="18">
        <f t="shared" si="23"/>
        <v>0.13185704545574795</v>
      </c>
      <c r="E123" s="18">
        <f t="shared" si="23"/>
        <v>3.9260952279102548E-2</v>
      </c>
      <c r="F123" s="18">
        <f t="shared" si="23"/>
        <v>9.7330999576915836E-2</v>
      </c>
      <c r="G123" s="18">
        <f t="shared" si="23"/>
        <v>5.5640545580114061E-2</v>
      </c>
      <c r="H123" s="18">
        <f t="shared" si="23"/>
        <v>7.4025695793873872E-2</v>
      </c>
      <c r="I123" s="18">
        <f t="shared" si="23"/>
        <v>8.4890596989626227E-2</v>
      </c>
      <c r="J123" s="12">
        <f>J122*(1+Returns!B110)</f>
        <v>100628503.48224896</v>
      </c>
      <c r="K123" s="12">
        <f>K122*(1+Returns!C110)</f>
        <v>25664848.993288595</v>
      </c>
      <c r="L123" s="12">
        <f>L122*(1+Returns!D110)</f>
        <v>7641809.4163503945</v>
      </c>
      <c r="M123" s="12">
        <f>M122*(1+Returns!E110)</f>
        <v>18944648.713107415</v>
      </c>
      <c r="N123" s="12">
        <f>N122*(1+Returns!F110)</f>
        <v>10829957.514079643</v>
      </c>
      <c r="O123" s="12">
        <f>O122*(1+Returns!G110)</f>
        <v>14408470.154979289</v>
      </c>
      <c r="P123" s="12">
        <f>P122*(1+Returns!H110)</f>
        <v>16523230.481605653</v>
      </c>
      <c r="Q123" s="12">
        <f t="shared" si="15"/>
        <v>194641468.75565994</v>
      </c>
      <c r="R123" s="12">
        <f t="shared" si="16"/>
        <v>689355.2018429623</v>
      </c>
      <c r="S123" s="12">
        <f t="shared" si="17"/>
        <v>193952113.55381697</v>
      </c>
      <c r="T123" t="b">
        <f t="shared" si="18"/>
        <v>1</v>
      </c>
      <c r="U123" s="12">
        <f t="shared" si="19"/>
        <v>58392440.62669798</v>
      </c>
      <c r="V123" s="12">
        <f>IF($T123=TRUE, $Q123*$C$8, $K123)</f>
        <v>29196220.31334899</v>
      </c>
      <c r="W123" s="12">
        <f>IF($T123=TRUE, $Q123*$C$9, $L123)</f>
        <v>9732073.4377829973</v>
      </c>
      <c r="X123" s="12">
        <f>IF($T123=TRUE, $Q123*$C$10, $M123)</f>
        <v>38928293.751131989</v>
      </c>
      <c r="Y123" s="12">
        <f>IF($T123=TRUE, $Q123*$C$11, $N123)</f>
        <v>19464146.875565995</v>
      </c>
      <c r="Z123" s="12">
        <f>IF($T123=TRUE, $Q123*$C$12, $O123)</f>
        <v>19464146.875565995</v>
      </c>
      <c r="AA123" s="12">
        <f>IF($T123=TRUE, $Q123*$C$13, $P123)</f>
        <v>19464146.875565995</v>
      </c>
      <c r="AB123" s="12">
        <f>U123-(1-$B$3)</f>
        <v>58392439.630239643</v>
      </c>
      <c r="AC123" s="12">
        <f t="shared" si="13"/>
        <v>29092817.033072546</v>
      </c>
      <c r="AD123" s="12">
        <f t="shared" si="13"/>
        <v>9697605.6776908487</v>
      </c>
      <c r="AE123" s="12">
        <f t="shared" si="13"/>
        <v>38790422.710763395</v>
      </c>
      <c r="AF123" s="12">
        <f t="shared" si="13"/>
        <v>19395211.355381697</v>
      </c>
      <c r="AG123" s="12">
        <f t="shared" si="13"/>
        <v>19395211.355381697</v>
      </c>
      <c r="AH123" s="12">
        <f t="shared" si="13"/>
        <v>19395211.355381697</v>
      </c>
      <c r="AI123" s="12">
        <f t="shared" si="20"/>
        <v>194158919.11791155</v>
      </c>
    </row>
    <row r="124" spans="1:35" x14ac:dyDescent="0.2">
      <c r="A124" s="1">
        <f>Returns!A111</f>
        <v>45747</v>
      </c>
      <c r="B124" s="20">
        <f t="shared" si="21"/>
        <v>193952113.55381697</v>
      </c>
      <c r="C124" s="18">
        <f t="shared" si="22"/>
        <v>0.50291129941494173</v>
      </c>
      <c r="D124" s="18">
        <f t="shared" si="23"/>
        <v>0.1360840551025749</v>
      </c>
      <c r="E124" s="18">
        <f t="shared" si="23"/>
        <v>4.0903842163650346E-2</v>
      </c>
      <c r="F124" s="18">
        <f t="shared" si="23"/>
        <v>0.10031942551786635</v>
      </c>
      <c r="G124" s="18">
        <f t="shared" si="23"/>
        <v>5.6837752267511664E-2</v>
      </c>
      <c r="H124" s="18">
        <f t="shared" si="23"/>
        <v>7.3529819529772972E-2</v>
      </c>
      <c r="I124" s="18">
        <f t="shared" si="23"/>
        <v>8.9413806003682109E-2</v>
      </c>
      <c r="J124" s="12">
        <f>J123*(1+Returns!B111)</f>
        <v>95021233.225751594</v>
      </c>
      <c r="K124" s="12">
        <f>K123*(1+Returns!C111)</f>
        <v>25712038.59060403</v>
      </c>
      <c r="L124" s="12">
        <f>L123*(1+Returns!D111)</f>
        <v>7728467.2875378914</v>
      </c>
      <c r="M124" s="12">
        <f>M123*(1+Returns!E111)</f>
        <v>18954586.107522599</v>
      </c>
      <c r="N124" s="12">
        <f>N123*(1+Returns!F111)</f>
        <v>10739057.405394731</v>
      </c>
      <c r="O124" s="12">
        <f>O123*(1+Returns!G111)</f>
        <v>13892895.504066292</v>
      </c>
      <c r="P124" s="12">
        <f>P123*(1+Returns!H111)</f>
        <v>16894052.934905201</v>
      </c>
      <c r="Q124" s="12">
        <f t="shared" si="15"/>
        <v>188942331.05578232</v>
      </c>
      <c r="R124" s="12">
        <f t="shared" si="16"/>
        <v>669170.75582256238</v>
      </c>
      <c r="S124" s="12">
        <f t="shared" si="17"/>
        <v>188273160.29995975</v>
      </c>
      <c r="T124" t="b">
        <f t="shared" si="18"/>
        <v>1</v>
      </c>
      <c r="U124" s="12">
        <f t="shared" si="19"/>
        <v>56682699.316734694</v>
      </c>
      <c r="V124" s="12">
        <f>IF($T124=TRUE, $Q124*$C$8, $K124)</f>
        <v>28341349.658367347</v>
      </c>
      <c r="W124" s="12">
        <f>IF($T124=TRUE, $Q124*$C$9, $L124)</f>
        <v>9447116.5527891163</v>
      </c>
      <c r="X124" s="12">
        <f>IF($T124=TRUE, $Q124*$C$10, $M124)</f>
        <v>37788466.211156465</v>
      </c>
      <c r="Y124" s="12">
        <f>IF($T124=TRUE, $Q124*$C$11, $N124)</f>
        <v>18894233.105578233</v>
      </c>
      <c r="Z124" s="12">
        <f>IF($T124=TRUE, $Q124*$C$12, $O124)</f>
        <v>18894233.105578233</v>
      </c>
      <c r="AA124" s="12">
        <f>IF($T124=TRUE, $Q124*$C$13, $P124)</f>
        <v>18894233.105578233</v>
      </c>
      <c r="AB124" s="12">
        <f>U124-(1-$B$3)</f>
        <v>56682698.320276357</v>
      </c>
      <c r="AC124" s="12">
        <f t="shared" ref="AC124:AH135" si="24">V124*(1-$B$3)</f>
        <v>28240974.044993963</v>
      </c>
      <c r="AD124" s="12">
        <f t="shared" si="24"/>
        <v>9413658.0149979889</v>
      </c>
      <c r="AE124" s="12">
        <f t="shared" si="24"/>
        <v>37654632.059991956</v>
      </c>
      <c r="AF124" s="12">
        <f t="shared" si="24"/>
        <v>18827316.029995978</v>
      </c>
      <c r="AG124" s="12">
        <f t="shared" si="24"/>
        <v>18827316.029995978</v>
      </c>
      <c r="AH124" s="12">
        <f t="shared" si="24"/>
        <v>18827316.029995978</v>
      </c>
      <c r="AI124" s="12">
        <f t="shared" si="20"/>
        <v>188473910.53024819</v>
      </c>
    </row>
    <row r="125" spans="1:35" x14ac:dyDescent="0.2">
      <c r="A125" s="1">
        <f>Returns!A112</f>
        <v>45777</v>
      </c>
      <c r="B125" s="20">
        <f t="shared" si="21"/>
        <v>188273160.29995975</v>
      </c>
      <c r="C125" s="18">
        <f t="shared" si="22"/>
        <v>0.49750243601505423</v>
      </c>
      <c r="D125" s="18">
        <f t="shared" si="23"/>
        <v>0.14081570328277787</v>
      </c>
      <c r="E125" s="18">
        <f t="shared" si="23"/>
        <v>4.0873856766240411E-2</v>
      </c>
      <c r="F125" s="18">
        <f t="shared" si="23"/>
        <v>0.10084321499250412</v>
      </c>
      <c r="G125" s="18">
        <f t="shared" si="23"/>
        <v>5.6347709587759427E-2</v>
      </c>
      <c r="H125" s="18">
        <f t="shared" si="23"/>
        <v>7.1584151042073718E-2</v>
      </c>
      <c r="I125" s="18">
        <f t="shared" si="23"/>
        <v>9.2032928313590445E-2</v>
      </c>
      <c r="J125" s="12">
        <f>J124*(1+Returns!B112)</f>
        <v>94197384.066587329</v>
      </c>
      <c r="K125" s="12">
        <f>K124*(1+Returns!C112)</f>
        <v>26662122.483221475</v>
      </c>
      <c r="L125" s="12">
        <f>L124*(1+Returns!D112)</f>
        <v>7739078.4554383997</v>
      </c>
      <c r="M125" s="12">
        <f>M124*(1+Returns!E112)</f>
        <v>19093709.629335176</v>
      </c>
      <c r="N125" s="12">
        <f>N124*(1+Returns!F112)</f>
        <v>10668906.23456181</v>
      </c>
      <c r="O125" s="12">
        <f>O124*(1+Returns!G112)</f>
        <v>13553782.41522173</v>
      </c>
      <c r="P125" s="12">
        <f>P124*(1+Returns!H112)</f>
        <v>17425565.117967885</v>
      </c>
      <c r="Q125" s="12">
        <f t="shared" si="15"/>
        <v>189340548.40233377</v>
      </c>
      <c r="R125" s="12">
        <f t="shared" si="16"/>
        <v>670581.10892493208</v>
      </c>
      <c r="S125" s="12">
        <f t="shared" si="17"/>
        <v>188669967.29340884</v>
      </c>
      <c r="T125" t="b">
        <f t="shared" si="18"/>
        <v>1</v>
      </c>
      <c r="U125" s="12">
        <f t="shared" si="19"/>
        <v>56802164.520700127</v>
      </c>
      <c r="V125" s="12">
        <f>IF($T125=TRUE, $Q125*$C$8, $K125)</f>
        <v>28401082.260350063</v>
      </c>
      <c r="W125" s="12">
        <f>IF($T125=TRUE, $Q125*$C$9, $L125)</f>
        <v>9467027.4201166891</v>
      </c>
      <c r="X125" s="12">
        <f>IF($T125=TRUE, $Q125*$C$10, $M125)</f>
        <v>37868109.680466756</v>
      </c>
      <c r="Y125" s="12">
        <f>IF($T125=TRUE, $Q125*$C$11, $N125)</f>
        <v>18934054.840233378</v>
      </c>
      <c r="Z125" s="12">
        <f>IF($T125=TRUE, $Q125*$C$12, $O125)</f>
        <v>18934054.840233378</v>
      </c>
      <c r="AA125" s="12">
        <f>IF($T125=TRUE, $Q125*$C$13, $P125)</f>
        <v>18934054.840233378</v>
      </c>
      <c r="AB125" s="12">
        <f>U125-(1-$B$3)</f>
        <v>56802163.52424179</v>
      </c>
      <c r="AC125" s="12">
        <f t="shared" si="24"/>
        <v>28300495.094011325</v>
      </c>
      <c r="AD125" s="12">
        <f t="shared" si="24"/>
        <v>9433498.3646704424</v>
      </c>
      <c r="AE125" s="12">
        <f t="shared" si="24"/>
        <v>37733993.45868177</v>
      </c>
      <c r="AF125" s="12">
        <f t="shared" si="24"/>
        <v>18866996.729340885</v>
      </c>
      <c r="AG125" s="12">
        <f t="shared" si="24"/>
        <v>18866996.729340885</v>
      </c>
      <c r="AH125" s="12">
        <f t="shared" si="24"/>
        <v>18866996.729340885</v>
      </c>
      <c r="AI125" s="12">
        <f t="shared" si="20"/>
        <v>188871140.62962797</v>
      </c>
    </row>
    <row r="126" spans="1:35" x14ac:dyDescent="0.2">
      <c r="A126" s="1">
        <f>Returns!A113</f>
        <v>45808</v>
      </c>
      <c r="B126" s="20">
        <f t="shared" si="21"/>
        <v>188669967.29340884</v>
      </c>
      <c r="C126" s="18">
        <f t="shared" si="22"/>
        <v>0.50695214891357976</v>
      </c>
      <c r="D126" s="18">
        <f t="shared" si="23"/>
        <v>0.14147350832034714</v>
      </c>
      <c r="E126" s="18">
        <f t="shared" si="23"/>
        <v>4.076359053726044E-2</v>
      </c>
      <c r="F126" s="18">
        <f t="shared" si="23"/>
        <v>9.5173086331378887E-2</v>
      </c>
      <c r="G126" s="18">
        <f t="shared" si="23"/>
        <v>5.3917866502589958E-2</v>
      </c>
      <c r="H126" s="18">
        <f t="shared" si="23"/>
        <v>6.9399962294844353E-2</v>
      </c>
      <c r="I126" s="18">
        <f t="shared" si="23"/>
        <v>9.2319837099999427E-2</v>
      </c>
      <c r="J126" s="12">
        <f>J125*(1+Returns!B113)</f>
        <v>100117207.40614907</v>
      </c>
      <c r="K126" s="12">
        <f>K125*(1+Returns!C113)</f>
        <v>27939387.583892617</v>
      </c>
      <c r="L126" s="12">
        <f>L125*(1+Returns!D113)</f>
        <v>8050339.3805200178</v>
      </c>
      <c r="M126" s="12">
        <f>M125*(1+Returns!E113)</f>
        <v>18795587.796879645</v>
      </c>
      <c r="N126" s="12">
        <f>N125*(1+Returns!F113)</f>
        <v>10648157.296709819</v>
      </c>
      <c r="O126" s="12">
        <f>O125*(1+Returns!G113)</f>
        <v>13705692.803437168</v>
      </c>
      <c r="P126" s="12">
        <f>P125*(1+Returns!H113)</f>
        <v>18232103.953894399</v>
      </c>
      <c r="Q126" s="12">
        <f t="shared" si="15"/>
        <v>197488476.22148275</v>
      </c>
      <c r="R126" s="12">
        <f t="shared" si="16"/>
        <v>699438.35328441812</v>
      </c>
      <c r="S126" s="12">
        <f t="shared" si="17"/>
        <v>196789037.86819834</v>
      </c>
      <c r="T126" t="b">
        <f t="shared" si="18"/>
        <v>1</v>
      </c>
      <c r="U126" s="12">
        <f t="shared" si="19"/>
        <v>59246542.866444826</v>
      </c>
      <c r="V126" s="12">
        <f>IF($T126=TRUE, $Q126*$C$8, $K126)</f>
        <v>29623271.433222413</v>
      </c>
      <c r="W126" s="12">
        <f>IF($T126=TRUE, $Q126*$C$9, $L126)</f>
        <v>9874423.8110741377</v>
      </c>
      <c r="X126" s="12">
        <f>IF($T126=TRUE, $Q126*$C$10, $M126)</f>
        <v>39497695.244296551</v>
      </c>
      <c r="Y126" s="12">
        <f>IF($T126=TRUE, $Q126*$C$11, $N126)</f>
        <v>19748847.622148275</v>
      </c>
      <c r="Z126" s="12">
        <f>IF($T126=TRUE, $Q126*$C$12, $O126)</f>
        <v>19748847.622148275</v>
      </c>
      <c r="AA126" s="12">
        <f>IF($T126=TRUE, $Q126*$C$13, $P126)</f>
        <v>19748847.622148275</v>
      </c>
      <c r="AB126" s="12">
        <f>U126-(1-$B$3)</f>
        <v>59246541.869986489</v>
      </c>
      <c r="AC126" s="12">
        <f t="shared" si="24"/>
        <v>29518355.68022975</v>
      </c>
      <c r="AD126" s="12">
        <f t="shared" si="24"/>
        <v>9839451.8934099171</v>
      </c>
      <c r="AE126" s="12">
        <f t="shared" si="24"/>
        <v>39357807.573639669</v>
      </c>
      <c r="AF126" s="12">
        <f t="shared" si="24"/>
        <v>19678903.786819834</v>
      </c>
      <c r="AG126" s="12">
        <f t="shared" si="24"/>
        <v>19678903.786819834</v>
      </c>
      <c r="AH126" s="12">
        <f t="shared" si="24"/>
        <v>19678903.786819834</v>
      </c>
      <c r="AI126" s="12">
        <f t="shared" si="20"/>
        <v>196998868.37772536</v>
      </c>
    </row>
    <row r="127" spans="1:35" x14ac:dyDescent="0.2">
      <c r="A127" s="1">
        <f>Returns!A114</f>
        <v>45838</v>
      </c>
      <c r="B127" s="20">
        <f t="shared" si="21"/>
        <v>196789037.86819834</v>
      </c>
      <c r="C127" s="18">
        <f t="shared" si="22"/>
        <v>0.51591371271748598</v>
      </c>
      <c r="D127" s="18">
        <f t="shared" si="23"/>
        <v>0.13823945270443067</v>
      </c>
      <c r="E127" s="18">
        <f t="shared" si="23"/>
        <v>4.1937959052900972E-2</v>
      </c>
      <c r="F127" s="18">
        <f t="shared" si="23"/>
        <v>9.3566431535886035E-2</v>
      </c>
      <c r="G127" s="18">
        <f t="shared" si="23"/>
        <v>5.3237151367382142E-2</v>
      </c>
      <c r="H127" s="18">
        <f t="shared" si="23"/>
        <v>6.7177374451171237E-2</v>
      </c>
      <c r="I127" s="18">
        <f t="shared" si="23"/>
        <v>8.992791817074304E-2</v>
      </c>
      <c r="J127" s="12">
        <f>J126*(1+Returns!B114)</f>
        <v>104951588.24528617</v>
      </c>
      <c r="K127" s="12">
        <f>K126*(1+Returns!C114)</f>
        <v>28121854.026845638</v>
      </c>
      <c r="L127" s="12">
        <f>L126*(1+Returns!D114)</f>
        <v>8531378.9920097906</v>
      </c>
      <c r="M127" s="12">
        <f>M126*(1+Returns!E114)</f>
        <v>19034085.262844071</v>
      </c>
      <c r="N127" s="12">
        <f>N126*(1+Returns!F114)</f>
        <v>10829957.514079643</v>
      </c>
      <c r="O127" s="12">
        <f>O126*(1+Returns!G114)</f>
        <v>13665797.145926045</v>
      </c>
      <c r="P127" s="12">
        <f>P126*(1+Returns!H114)</f>
        <v>18293907.69611099</v>
      </c>
      <c r="Q127" s="12">
        <f t="shared" si="15"/>
        <v>203428568.88310233</v>
      </c>
      <c r="R127" s="12">
        <f t="shared" si="16"/>
        <v>720476.18146098743</v>
      </c>
      <c r="S127" s="12">
        <f t="shared" si="17"/>
        <v>202708092.70164135</v>
      </c>
      <c r="T127" t="b">
        <f t="shared" si="18"/>
        <v>1</v>
      </c>
      <c r="U127" s="12">
        <f t="shared" si="19"/>
        <v>61028570.664930694</v>
      </c>
      <c r="V127" s="12">
        <f>IF($T127=TRUE, $Q127*$C$8, $K127)</f>
        <v>30514285.332465347</v>
      </c>
      <c r="W127" s="12">
        <f>IF($T127=TRUE, $Q127*$C$9, $L127)</f>
        <v>10171428.444155117</v>
      </c>
      <c r="X127" s="12">
        <f>IF($T127=TRUE, $Q127*$C$10, $M127)</f>
        <v>40685713.77662047</v>
      </c>
      <c r="Y127" s="12">
        <f>IF($T127=TRUE, $Q127*$C$11, $N127)</f>
        <v>20342856.888310235</v>
      </c>
      <c r="Z127" s="12">
        <f>IF($T127=TRUE, $Q127*$C$12, $O127)</f>
        <v>20342856.888310235</v>
      </c>
      <c r="AA127" s="12">
        <f>IF($T127=TRUE, $Q127*$C$13, $P127)</f>
        <v>20342856.888310235</v>
      </c>
      <c r="AB127" s="12">
        <f>U127-(1-$B$3)</f>
        <v>61028569.668472357</v>
      </c>
      <c r="AC127" s="12">
        <f t="shared" si="24"/>
        <v>30406213.905246198</v>
      </c>
      <c r="AD127" s="12">
        <f t="shared" si="24"/>
        <v>10135404.635082068</v>
      </c>
      <c r="AE127" s="12">
        <f t="shared" si="24"/>
        <v>40541618.540328272</v>
      </c>
      <c r="AF127" s="12">
        <f t="shared" si="24"/>
        <v>20270809.270164136</v>
      </c>
      <c r="AG127" s="12">
        <f t="shared" si="24"/>
        <v>20270809.270164136</v>
      </c>
      <c r="AH127" s="12">
        <f t="shared" si="24"/>
        <v>20270809.270164136</v>
      </c>
      <c r="AI127" s="12">
        <f t="shared" si="20"/>
        <v>202924234.55962127</v>
      </c>
    </row>
    <row r="128" spans="1:35" x14ac:dyDescent="0.2">
      <c r="A128" s="1">
        <f>Returns!A115</f>
        <v>45869</v>
      </c>
      <c r="B128" s="20">
        <f t="shared" si="21"/>
        <v>202708092.70164135</v>
      </c>
      <c r="C128" s="18">
        <f t="shared" si="22"/>
        <v>0.52357918314409679</v>
      </c>
      <c r="D128" s="18">
        <f t="shared" si="23"/>
        <v>0.13426619439071566</v>
      </c>
      <c r="E128" s="18">
        <f t="shared" si="23"/>
        <v>4.1878871694594949E-2</v>
      </c>
      <c r="F128" s="18">
        <f t="shared" si="23"/>
        <v>9.197569827111296E-2</v>
      </c>
      <c r="G128" s="18">
        <f t="shared" si="23"/>
        <v>5.257090932864511E-2</v>
      </c>
      <c r="H128" s="18">
        <f t="shared" si="23"/>
        <v>6.6700527262276571E-2</v>
      </c>
      <c r="I128" s="18">
        <f t="shared" si="23"/>
        <v>8.9028615908557679E-2</v>
      </c>
      <c r="J128" s="12">
        <f>J127*(1+Returns!B115)</f>
        <v>107368778.66485471</v>
      </c>
      <c r="K128" s="12">
        <f>K127*(1+Returns!C115)</f>
        <v>27533557.046979863</v>
      </c>
      <c r="L128" s="12">
        <f>L127*(1+Returns!D115)</f>
        <v>8587971.8874791749</v>
      </c>
      <c r="M128" s="12">
        <f>M127*(1+Returns!E115)</f>
        <v>18861174.600019865</v>
      </c>
      <c r="N128" s="12">
        <f>N127*(1+Returns!F115)</f>
        <v>10780555.281098712</v>
      </c>
      <c r="O128" s="12">
        <f>O127*(1+Returns!G115)</f>
        <v>13678072.732852546</v>
      </c>
      <c r="P128" s="12">
        <f>P127*(1+Returns!H115)</f>
        <v>18256825.450781036</v>
      </c>
      <c r="Q128" s="12">
        <f t="shared" si="15"/>
        <v>205066935.66406596</v>
      </c>
      <c r="R128" s="12">
        <f t="shared" si="16"/>
        <v>726278.73047690035</v>
      </c>
      <c r="S128" s="12">
        <f t="shared" si="17"/>
        <v>204340656.93358907</v>
      </c>
      <c r="T128" t="b">
        <f t="shared" si="18"/>
        <v>1</v>
      </c>
      <c r="U128" s="12">
        <f t="shared" si="19"/>
        <v>61520080.699219786</v>
      </c>
      <c r="V128" s="12">
        <f>IF($T128=TRUE, $Q128*$C$8, $K128)</f>
        <v>30760040.349609893</v>
      </c>
      <c r="W128" s="12">
        <f>IF($T128=TRUE, $Q128*$C$9, $L128)</f>
        <v>10253346.783203298</v>
      </c>
      <c r="X128" s="12">
        <f>IF($T128=TRUE, $Q128*$C$10, $M128)</f>
        <v>41013387.132813193</v>
      </c>
      <c r="Y128" s="12">
        <f>IF($T128=TRUE, $Q128*$C$11, $N128)</f>
        <v>20506693.566406596</v>
      </c>
      <c r="Z128" s="12">
        <f>IF($T128=TRUE, $Q128*$C$12, $O128)</f>
        <v>20506693.566406596</v>
      </c>
      <c r="AA128" s="12">
        <f>IF($T128=TRUE, $Q128*$C$13, $P128)</f>
        <v>20506693.566406596</v>
      </c>
      <c r="AB128" s="12">
        <f>U128-(1-$B$3)</f>
        <v>61520079.702761449</v>
      </c>
      <c r="AC128" s="12">
        <f t="shared" si="24"/>
        <v>30651098.540038358</v>
      </c>
      <c r="AD128" s="12">
        <f t="shared" si="24"/>
        <v>10217032.846679453</v>
      </c>
      <c r="AE128" s="12">
        <f t="shared" si="24"/>
        <v>40868131.386717811</v>
      </c>
      <c r="AF128" s="12">
        <f t="shared" si="24"/>
        <v>20434065.693358906</v>
      </c>
      <c r="AG128" s="12">
        <f t="shared" si="24"/>
        <v>20434065.693358906</v>
      </c>
      <c r="AH128" s="12">
        <f t="shared" si="24"/>
        <v>20434065.693358906</v>
      </c>
      <c r="AI128" s="12">
        <f t="shared" si="20"/>
        <v>204558539.55627376</v>
      </c>
    </row>
    <row r="129" spans="1:35" x14ac:dyDescent="0.2">
      <c r="A129" s="1">
        <f>Returns!A116</f>
        <v>45900</v>
      </c>
      <c r="B129" s="20">
        <f t="shared" si="21"/>
        <v>204340656.93358907</v>
      </c>
      <c r="C129" s="18">
        <f t="shared" si="22"/>
        <v>0.5219437437335207</v>
      </c>
      <c r="D129" s="18">
        <f t="shared" si="23"/>
        <v>0.13708991930561371</v>
      </c>
      <c r="E129" s="18">
        <f t="shared" si="23"/>
        <v>4.2003798144832322E-2</v>
      </c>
      <c r="F129" s="18">
        <f t="shared" si="23"/>
        <v>9.1028243816191332E-2</v>
      </c>
      <c r="G129" s="18">
        <f t="shared" si="23"/>
        <v>5.167771087056821E-2</v>
      </c>
      <c r="H129" s="18">
        <f t="shared" si="23"/>
        <v>6.7421114268255353E-2</v>
      </c>
      <c r="I129" s="18">
        <f t="shared" si="23"/>
        <v>8.8835469861018368E-2</v>
      </c>
      <c r="J129" s="12">
        <f>J128*(1+Returns!B116)</f>
        <v>109571938.16884655</v>
      </c>
      <c r="K129" s="12">
        <f>K128*(1+Returns!C116)</f>
        <v>28779362.416107379</v>
      </c>
      <c r="L129" s="12">
        <f>L128*(1+Returns!D116)</f>
        <v>8817880.5253235511</v>
      </c>
      <c r="M129" s="12">
        <f>M128*(1+Returns!E116)</f>
        <v>19109609.460399471</v>
      </c>
      <c r="N129" s="12">
        <f>N128*(1+Returns!F116)</f>
        <v>10848730.362612395</v>
      </c>
      <c r="O129" s="12">
        <f>O128*(1+Returns!G116)</f>
        <v>14153751.726254418</v>
      </c>
      <c r="P129" s="12">
        <f>P128*(1+Returns!H116)</f>
        <v>18649279.213856392</v>
      </c>
      <c r="Q129" s="12">
        <f t="shared" si="15"/>
        <v>209930551.87340015</v>
      </c>
      <c r="R129" s="12">
        <f t="shared" si="16"/>
        <v>743504.0378849589</v>
      </c>
      <c r="S129" s="12">
        <f t="shared" si="17"/>
        <v>209187047.8355152</v>
      </c>
      <c r="T129" t="b">
        <f t="shared" si="18"/>
        <v>1</v>
      </c>
      <c r="U129" s="12">
        <f t="shared" si="19"/>
        <v>62979165.562020041</v>
      </c>
      <c r="V129" s="12">
        <f>IF($T129=TRUE, $Q129*$C$8, $K129)</f>
        <v>31489582.781010021</v>
      </c>
      <c r="W129" s="12">
        <f>IF($T129=TRUE, $Q129*$C$9, $L129)</f>
        <v>10496527.593670009</v>
      </c>
      <c r="X129" s="12">
        <f>IF($T129=TRUE, $Q129*$C$10, $M129)</f>
        <v>41986110.374680035</v>
      </c>
      <c r="Y129" s="12">
        <f>IF($T129=TRUE, $Q129*$C$11, $N129)</f>
        <v>20993055.187340017</v>
      </c>
      <c r="Z129" s="12">
        <f>IF($T129=TRUE, $Q129*$C$12, $O129)</f>
        <v>20993055.187340017</v>
      </c>
      <c r="AA129" s="12">
        <f>IF($T129=TRUE, $Q129*$C$13, $P129)</f>
        <v>20993055.187340017</v>
      </c>
      <c r="AB129" s="12">
        <f>U129-(1-$B$3)</f>
        <v>62979164.565561704</v>
      </c>
      <c r="AC129" s="12">
        <f t="shared" si="24"/>
        <v>31378057.175327275</v>
      </c>
      <c r="AD129" s="12">
        <f t="shared" si="24"/>
        <v>10459352.391775761</v>
      </c>
      <c r="AE129" s="12">
        <f t="shared" si="24"/>
        <v>41837409.567103043</v>
      </c>
      <c r="AF129" s="12">
        <f t="shared" si="24"/>
        <v>20918704.783551522</v>
      </c>
      <c r="AG129" s="12">
        <f t="shared" si="24"/>
        <v>20918704.783551522</v>
      </c>
      <c r="AH129" s="12">
        <f t="shared" si="24"/>
        <v>20918704.783551522</v>
      </c>
      <c r="AI129" s="12">
        <f t="shared" si="20"/>
        <v>209410098.05042231</v>
      </c>
    </row>
    <row r="130" spans="1:35" x14ac:dyDescent="0.2">
      <c r="A130" s="1">
        <f>Returns!A117</f>
        <v>45930</v>
      </c>
      <c r="B130" s="20">
        <f t="shared" si="21"/>
        <v>209187047.8355152</v>
      </c>
      <c r="C130" s="18">
        <f t="shared" si="22"/>
        <v>0.52613736291878499</v>
      </c>
      <c r="D130" s="18">
        <f t="shared" si="23"/>
        <v>0.13657272047157462</v>
      </c>
      <c r="E130" s="18">
        <f t="shared" si="23"/>
        <v>4.3909124962219048E-2</v>
      </c>
      <c r="F130" s="18">
        <f t="shared" si="23"/>
        <v>8.913563646860452E-2</v>
      </c>
      <c r="G130" s="18">
        <f t="shared" si="23"/>
        <v>5.1207805614051291E-2</v>
      </c>
      <c r="H130" s="18">
        <f t="shared" si="23"/>
        <v>6.5222146153052218E-2</v>
      </c>
      <c r="I130" s="18">
        <f t="shared" si="23"/>
        <v>8.7815203411713352E-2</v>
      </c>
      <c r="J130" s="12">
        <f>J129*(1+Returns!B117)</f>
        <v>113161202.64990652</v>
      </c>
      <c r="K130" s="12">
        <f>K129*(1+Returns!C117)</f>
        <v>29373951.342281878</v>
      </c>
      <c r="L130" s="12">
        <f>L129*(1+Returns!D117)</f>
        <v>9443939.4314536229</v>
      </c>
      <c r="M130" s="12">
        <f>M129*(1+Returns!E117)</f>
        <v>19171221.305773612</v>
      </c>
      <c r="N130" s="12">
        <f>N129*(1+Returns!F117)</f>
        <v>11013733.820768703</v>
      </c>
      <c r="O130" s="12">
        <f>O129*(1+Returns!G117)</f>
        <v>14027926.960257795</v>
      </c>
      <c r="P130" s="12">
        <f>P129*(1+Returns!H117)</f>
        <v>18887223.621390264</v>
      </c>
      <c r="Q130" s="12">
        <f t="shared" si="15"/>
        <v>215079199.13183239</v>
      </c>
      <c r="R130" s="12">
        <f t="shared" si="16"/>
        <v>761738.83025857306</v>
      </c>
      <c r="S130" s="12">
        <f t="shared" si="17"/>
        <v>214317460.30157381</v>
      </c>
      <c r="T130" t="b">
        <f t="shared" si="18"/>
        <v>1</v>
      </c>
      <c r="U130" s="12">
        <f t="shared" si="19"/>
        <v>64523759.739549711</v>
      </c>
      <c r="V130" s="12">
        <f>IF($T130=TRUE, $Q130*$C$8, $K130)</f>
        <v>32261879.869774856</v>
      </c>
      <c r="W130" s="12">
        <f>IF($T130=TRUE, $Q130*$C$9, $L130)</f>
        <v>10753959.956591621</v>
      </c>
      <c r="X130" s="12">
        <f>IF($T130=TRUE, $Q130*$C$10, $M130)</f>
        <v>43015839.826366484</v>
      </c>
      <c r="Y130" s="12">
        <f>IF($T130=TRUE, $Q130*$C$11, $N130)</f>
        <v>21507919.913183242</v>
      </c>
      <c r="Z130" s="12">
        <f>IF($T130=TRUE, $Q130*$C$12, $O130)</f>
        <v>21507919.913183242</v>
      </c>
      <c r="AA130" s="12">
        <f>IF($T130=TRUE, $Q130*$C$13, $P130)</f>
        <v>21507919.913183242</v>
      </c>
      <c r="AB130" s="12">
        <f>U130-(1-$B$3)</f>
        <v>64523758.743091375</v>
      </c>
      <c r="AC130" s="12">
        <f t="shared" si="24"/>
        <v>32147619.04523607</v>
      </c>
      <c r="AD130" s="12">
        <f t="shared" si="24"/>
        <v>10715873.015078692</v>
      </c>
      <c r="AE130" s="12">
        <f t="shared" si="24"/>
        <v>42863492.060314767</v>
      </c>
      <c r="AF130" s="12">
        <f t="shared" si="24"/>
        <v>21431746.030157384</v>
      </c>
      <c r="AG130" s="12">
        <f t="shared" si="24"/>
        <v>21431746.030157384</v>
      </c>
      <c r="AH130" s="12">
        <f t="shared" si="24"/>
        <v>21431746.030157384</v>
      </c>
      <c r="AI130" s="12">
        <f t="shared" si="20"/>
        <v>214545980.95419306</v>
      </c>
    </row>
    <row r="131" spans="1:35" x14ac:dyDescent="0.2">
      <c r="A131" s="1">
        <f>Returns!A118</f>
        <v>45961</v>
      </c>
      <c r="B131" s="20">
        <f t="shared" si="21"/>
        <v>214317460.30157381</v>
      </c>
      <c r="C131" s="18">
        <f t="shared" si="22"/>
        <v>0.53112548846573682</v>
      </c>
      <c r="D131" s="18">
        <f t="shared" si="23"/>
        <v>0.13627288800433299</v>
      </c>
      <c r="E131" s="18">
        <f t="shared" si="23"/>
        <v>4.4833811958517863E-2</v>
      </c>
      <c r="F131" s="18">
        <f t="shared" si="23"/>
        <v>8.8241066136693705E-2</v>
      </c>
      <c r="G131" s="18">
        <f t="shared" si="23"/>
        <v>5.0381037995946891E-2</v>
      </c>
      <c r="H131" s="18">
        <f t="shared" si="23"/>
        <v>6.2731886155672906E-2</v>
      </c>
      <c r="I131" s="18">
        <f t="shared" si="23"/>
        <v>8.6413821283098935E-2</v>
      </c>
      <c r="J131" s="12">
        <f>J130*(1+Returns!B118)</f>
        <v>115858671.64939693</v>
      </c>
      <c r="K131" s="12">
        <f>K130*(1+Returns!C118)</f>
        <v>29726300.335570466</v>
      </c>
      <c r="L131" s="12">
        <f>L130*(1+Returns!D118)</f>
        <v>9779959.7483030967</v>
      </c>
      <c r="M131" s="12">
        <f>M130*(1+Returns!E118)</f>
        <v>19248732.982212052</v>
      </c>
      <c r="N131" s="12">
        <f>N130*(1+Returns!F118)</f>
        <v>10990020.748937856</v>
      </c>
      <c r="O131" s="12">
        <f>O130*(1+Returns!G118)</f>
        <v>13684210.526315799</v>
      </c>
      <c r="P131" s="12">
        <f>P130*(1+Returns!H118)</f>
        <v>18850141.376060311</v>
      </c>
      <c r="Q131" s="12">
        <f t="shared" si="15"/>
        <v>218138037.36679649</v>
      </c>
      <c r="R131" s="12">
        <f t="shared" si="16"/>
        <v>772572.21567407099</v>
      </c>
      <c r="S131" s="12">
        <f t="shared" si="17"/>
        <v>217365465.15112242</v>
      </c>
      <c r="T131" t="b">
        <f t="shared" si="18"/>
        <v>1</v>
      </c>
      <c r="U131" s="12">
        <f t="shared" si="19"/>
        <v>65441411.210038945</v>
      </c>
      <c r="V131" s="12">
        <f>IF($T131=TRUE, $Q131*$C$8, $K131)</f>
        <v>32720705.605019473</v>
      </c>
      <c r="W131" s="12">
        <f>IF($T131=TRUE, $Q131*$C$9, $L131)</f>
        <v>10906901.868339825</v>
      </c>
      <c r="X131" s="12">
        <f>IF($T131=TRUE, $Q131*$C$10, $M131)</f>
        <v>43627607.473359302</v>
      </c>
      <c r="Y131" s="12">
        <f>IF($T131=TRUE, $Q131*$C$11, $N131)</f>
        <v>21813803.736679651</v>
      </c>
      <c r="Z131" s="12">
        <f>IF($T131=TRUE, $Q131*$C$12, $O131)</f>
        <v>21813803.736679651</v>
      </c>
      <c r="AA131" s="12">
        <f>IF($T131=TRUE, $Q131*$C$13, $P131)</f>
        <v>21813803.736679651</v>
      </c>
      <c r="AB131" s="12">
        <f>U131-(1-$B$3)</f>
        <v>65441410.213580608</v>
      </c>
      <c r="AC131" s="12">
        <f t="shared" si="24"/>
        <v>32604819.772668362</v>
      </c>
      <c r="AD131" s="12">
        <f t="shared" si="24"/>
        <v>10868273.257556122</v>
      </c>
      <c r="AE131" s="12">
        <f t="shared" si="24"/>
        <v>43473093.030224487</v>
      </c>
      <c r="AF131" s="12">
        <f t="shared" si="24"/>
        <v>21736546.515112244</v>
      </c>
      <c r="AG131" s="12">
        <f t="shared" si="24"/>
        <v>21736546.515112244</v>
      </c>
      <c r="AH131" s="12">
        <f t="shared" si="24"/>
        <v>21736546.515112244</v>
      </c>
      <c r="AI131" s="12">
        <f t="shared" si="20"/>
        <v>217597235.81936634</v>
      </c>
    </row>
    <row r="132" spans="1:35" x14ac:dyDescent="0.2">
      <c r="A132" s="1">
        <f>Returns!A119</f>
        <v>45991</v>
      </c>
      <c r="B132" s="20">
        <f t="shared" si="21"/>
        <v>217365465.15112242</v>
      </c>
      <c r="C132" s="18">
        <f t="shared" si="22"/>
        <v>0.52868983638133182</v>
      </c>
      <c r="D132" s="18">
        <f t="shared" si="23"/>
        <v>0.13638691845623219</v>
      </c>
      <c r="E132" s="18">
        <f t="shared" si="23"/>
        <v>4.3752016601970381E-2</v>
      </c>
      <c r="F132" s="18">
        <f t="shared" si="23"/>
        <v>8.8253820800697311E-2</v>
      </c>
      <c r="G132" s="18">
        <f t="shared" si="23"/>
        <v>5.0335891866634411E-2</v>
      </c>
      <c r="H132" s="18">
        <f t="shared" si="23"/>
        <v>6.3832178146188828E-2</v>
      </c>
      <c r="I132" s="18">
        <f t="shared" si="23"/>
        <v>8.8749337746945073E-2</v>
      </c>
      <c r="J132" s="12">
        <f>J131*(1+Returns!B119)</f>
        <v>116084593.17139454</v>
      </c>
      <c r="K132" s="12">
        <f>K131*(1+Returns!C119)</f>
        <v>29946518.456375837</v>
      </c>
      <c r="L132" s="12">
        <f>L131*(1+Returns!D119)</f>
        <v>9606644.0059281047</v>
      </c>
      <c r="M132" s="12">
        <f>M131*(1+Returns!E119)</f>
        <v>19377919.109609451</v>
      </c>
      <c r="N132" s="12">
        <f>N131*(1+Returns!F119)</f>
        <v>11052267.562493827</v>
      </c>
      <c r="O132" s="12">
        <f>O131*(1+Returns!G119)</f>
        <v>14015651.373331297</v>
      </c>
      <c r="P132" s="12">
        <f>P131*(1+Returns!H119)</f>
        <v>19486719.920891199</v>
      </c>
      <c r="Q132" s="12">
        <f t="shared" si="15"/>
        <v>219570313.60002425</v>
      </c>
      <c r="R132" s="12">
        <f t="shared" si="16"/>
        <v>777644.86066675268</v>
      </c>
      <c r="S132" s="12">
        <f t="shared" si="17"/>
        <v>218792668.7393575</v>
      </c>
      <c r="T132" t="b">
        <f t="shared" si="18"/>
        <v>1</v>
      </c>
      <c r="U132" s="12">
        <f t="shared" si="19"/>
        <v>65871094.08000727</v>
      </c>
      <c r="V132" s="12">
        <f>IF($T132=TRUE, $Q132*$C$8, $K132)</f>
        <v>32935547.040003635</v>
      </c>
      <c r="W132" s="12">
        <f>IF($T132=TRUE, $Q132*$C$9, $L132)</f>
        <v>10978515.680001214</v>
      </c>
      <c r="X132" s="12">
        <f>IF($T132=TRUE, $Q132*$C$10, $M132)</f>
        <v>43914062.720004857</v>
      </c>
      <c r="Y132" s="12">
        <f>IF($T132=TRUE, $Q132*$C$11, $N132)</f>
        <v>21957031.360002428</v>
      </c>
      <c r="Z132" s="12">
        <f>IF($T132=TRUE, $Q132*$C$12, $O132)</f>
        <v>21957031.360002428</v>
      </c>
      <c r="AA132" s="12">
        <f>IF($T132=TRUE, $Q132*$C$13, $P132)</f>
        <v>21957031.360002428</v>
      </c>
      <c r="AB132" s="12">
        <f>U132-(1-$B$3)</f>
        <v>65871093.083548933</v>
      </c>
      <c r="AC132" s="12">
        <f t="shared" si="24"/>
        <v>32818900.310903624</v>
      </c>
      <c r="AD132" s="12">
        <f t="shared" si="24"/>
        <v>10939633.436967876</v>
      </c>
      <c r="AE132" s="12">
        <f t="shared" si="24"/>
        <v>43758533.747871503</v>
      </c>
      <c r="AF132" s="12">
        <f t="shared" si="24"/>
        <v>21879266.873935752</v>
      </c>
      <c r="AG132" s="12">
        <f t="shared" si="24"/>
        <v>21879266.873935752</v>
      </c>
      <c r="AH132" s="12">
        <f t="shared" si="24"/>
        <v>21879266.873935752</v>
      </c>
      <c r="AI132" s="12">
        <f t="shared" si="20"/>
        <v>219025961.20109922</v>
      </c>
    </row>
    <row r="133" spans="1:35" x14ac:dyDescent="0.2">
      <c r="A133" s="1">
        <f>Returns!A120</f>
        <v>46022</v>
      </c>
      <c r="B133" s="20">
        <f t="shared" si="21"/>
        <v>218792668.7393575</v>
      </c>
      <c r="C133" s="18">
        <f t="shared" si="22"/>
        <v>0.53072005608364903</v>
      </c>
      <c r="D133" s="18">
        <f t="shared" si="23"/>
        <v>0.1384165591417294</v>
      </c>
      <c r="E133" s="18">
        <f t="shared" si="23"/>
        <v>4.433071731496685E-2</v>
      </c>
      <c r="F133" s="18">
        <f t="shared" si="23"/>
        <v>8.7563494567464289E-2</v>
      </c>
      <c r="G133" s="18">
        <f t="shared" si="23"/>
        <v>4.9882115779409965E-2</v>
      </c>
      <c r="H133" s="18">
        <f t="shared" si="23"/>
        <v>6.2211773471338175E-2</v>
      </c>
      <c r="I133" s="18">
        <f t="shared" si="23"/>
        <v>8.6875283641442244E-2</v>
      </c>
      <c r="J133" s="12">
        <f>J132*(1+Returns!B120)</f>
        <v>115834890.43655506</v>
      </c>
      <c r="K133" s="12">
        <f>K132*(1+Returns!C120)</f>
        <v>30210780.201342277</v>
      </c>
      <c r="L133" s="12">
        <f>L132*(1+Returns!D120)</f>
        <v>9675616.5972814169</v>
      </c>
      <c r="M133" s="12">
        <f>M132*(1+Returns!E120)</f>
        <v>19111596.93928251</v>
      </c>
      <c r="N133" s="12">
        <f>N132*(1+Returns!F120)</f>
        <v>10887264.104337519</v>
      </c>
      <c r="O133" s="12">
        <f>O132*(1+Returns!G120)</f>
        <v>13578333.589074736</v>
      </c>
      <c r="P133" s="12">
        <f>P132*(1+Returns!H120)</f>
        <v>18961388.112050176</v>
      </c>
      <c r="Q133" s="12">
        <f t="shared" si="15"/>
        <v>218259869.9799237</v>
      </c>
      <c r="R133" s="12">
        <f t="shared" si="16"/>
        <v>773003.70617889648</v>
      </c>
      <c r="S133" s="12">
        <f t="shared" si="17"/>
        <v>217486866.27374479</v>
      </c>
      <c r="T133" t="b">
        <f t="shared" si="18"/>
        <v>1</v>
      </c>
      <c r="U133" s="12">
        <f t="shared" si="19"/>
        <v>65477960.993977107</v>
      </c>
      <c r="V133" s="12">
        <f>IF($T133=TRUE, $Q133*$C$8, $K133)</f>
        <v>32738980.496988554</v>
      </c>
      <c r="W133" s="12">
        <f>IF($T133=TRUE, $Q133*$C$9, $L133)</f>
        <v>10912993.498996185</v>
      </c>
      <c r="X133" s="12">
        <f>IF($T133=TRUE, $Q133*$C$10, $M133)</f>
        <v>43651973.995984741</v>
      </c>
      <c r="Y133" s="12">
        <f>IF($T133=TRUE, $Q133*$C$11, $N133)</f>
        <v>21825986.99799237</v>
      </c>
      <c r="Z133" s="12">
        <f>IF($T133=TRUE, $Q133*$C$12, $O133)</f>
        <v>21825986.99799237</v>
      </c>
      <c r="AA133" s="12">
        <f>IF($T133=TRUE, $Q133*$C$13, $P133)</f>
        <v>21825986.99799237</v>
      </c>
      <c r="AB133" s="12">
        <f>U133-(1-$B$3)</f>
        <v>65477959.99751877</v>
      </c>
      <c r="AC133" s="12">
        <f t="shared" si="24"/>
        <v>32623029.94106172</v>
      </c>
      <c r="AD133" s="12">
        <f t="shared" si="24"/>
        <v>10874343.313687241</v>
      </c>
      <c r="AE133" s="12">
        <f t="shared" si="24"/>
        <v>43497373.254748963</v>
      </c>
      <c r="AF133" s="12">
        <f t="shared" si="24"/>
        <v>21748686.627374481</v>
      </c>
      <c r="AG133" s="12">
        <f t="shared" si="24"/>
        <v>21748686.627374481</v>
      </c>
      <c r="AH133" s="12">
        <f t="shared" si="24"/>
        <v>21748686.627374481</v>
      </c>
      <c r="AI133" s="12">
        <f t="shared" si="20"/>
        <v>217718766.3891401</v>
      </c>
    </row>
    <row r="134" spans="1:35" x14ac:dyDescent="0.2">
      <c r="A134" s="1">
        <f>Returns!A121</f>
        <v>46053</v>
      </c>
      <c r="B134" s="20">
        <f t="shared" si="21"/>
        <v>217486866.27374479</v>
      </c>
      <c r="C134" s="18">
        <f t="shared" si="22"/>
        <v>0.52587766017730497</v>
      </c>
      <c r="D134" s="18">
        <f t="shared" si="23"/>
        <v>0.14179092977024951</v>
      </c>
      <c r="E134" s="18">
        <f t="shared" si="23"/>
        <v>4.6761766441154214E-2</v>
      </c>
      <c r="F134" s="18">
        <f t="shared" si="23"/>
        <v>8.530877949585744E-2</v>
      </c>
      <c r="G134" s="18">
        <f t="shared" si="23"/>
        <v>4.8877093922320217E-2</v>
      </c>
      <c r="H134" s="18">
        <f t="shared" si="23"/>
        <v>6.2334663448057055E-2</v>
      </c>
      <c r="I134" s="18">
        <f t="shared" si="23"/>
        <v>8.9049106745056547E-2</v>
      </c>
      <c r="J134" s="12">
        <f>J133*(1+Returns!B121)</f>
        <v>117542041.78698821</v>
      </c>
      <c r="K134" s="12">
        <f>K133*(1+Returns!C121)</f>
        <v>31692533.557046972</v>
      </c>
      <c r="L134" s="12">
        <f>L133*(1+Returns!D121)</f>
        <v>10452000.382002043</v>
      </c>
      <c r="M134" s="12">
        <f>M133*(1+Returns!E121)</f>
        <v>19067872.4038557</v>
      </c>
      <c r="N134" s="12">
        <f>N133*(1+Returns!F121)</f>
        <v>10924809.801403025</v>
      </c>
      <c r="O134" s="12">
        <f>O133*(1+Returns!G121)</f>
        <v>13932791.161577422</v>
      </c>
      <c r="P134" s="12">
        <f>P133*(1+Returns!H121)</f>
        <v>19903895.180853188</v>
      </c>
      <c r="Q134" s="12">
        <f t="shared" si="15"/>
        <v>223515944.27372658</v>
      </c>
      <c r="R134" s="12">
        <f t="shared" si="16"/>
        <v>791618.96930278174</v>
      </c>
      <c r="S134" s="12">
        <f t="shared" si="17"/>
        <v>222724325.30442381</v>
      </c>
      <c r="T134" t="b">
        <f t="shared" si="18"/>
        <v>1</v>
      </c>
      <c r="U134" s="12">
        <f t="shared" si="19"/>
        <v>67054783.28211797</v>
      </c>
      <c r="V134" s="12">
        <f>IF($T134=TRUE, $Q134*$C$8, $K134)</f>
        <v>33527391.641058985</v>
      </c>
      <c r="W134" s="12">
        <f>IF($T134=TRUE, $Q134*$C$9, $L134)</f>
        <v>11175797.21368633</v>
      </c>
      <c r="X134" s="12">
        <f>IF($T134=TRUE, $Q134*$C$10, $M134)</f>
        <v>44703188.854745321</v>
      </c>
      <c r="Y134" s="12">
        <f>IF($T134=TRUE, $Q134*$C$11, $N134)</f>
        <v>22351594.42737266</v>
      </c>
      <c r="Z134" s="12">
        <f>IF($T134=TRUE, $Q134*$C$12, $O134)</f>
        <v>22351594.42737266</v>
      </c>
      <c r="AA134" s="12">
        <f>IF($T134=TRUE, $Q134*$C$13, $P134)</f>
        <v>22351594.42737266</v>
      </c>
      <c r="AB134" s="12">
        <f>U134-(1-$B$3)</f>
        <v>67054782.285659634</v>
      </c>
      <c r="AC134" s="12">
        <f t="shared" si="24"/>
        <v>33408648.795663569</v>
      </c>
      <c r="AD134" s="12">
        <f t="shared" si="24"/>
        <v>11136216.265221192</v>
      </c>
      <c r="AE134" s="12">
        <f t="shared" si="24"/>
        <v>44544865.060884766</v>
      </c>
      <c r="AF134" s="12">
        <f t="shared" si="24"/>
        <v>22272432.530442383</v>
      </c>
      <c r="AG134" s="12">
        <f t="shared" si="24"/>
        <v>22272432.530442383</v>
      </c>
      <c r="AH134" s="12">
        <f t="shared" si="24"/>
        <v>22272432.530442383</v>
      </c>
      <c r="AI134" s="12">
        <f t="shared" si="20"/>
        <v>222961809.99875632</v>
      </c>
    </row>
    <row r="135" spans="1:35" x14ac:dyDescent="0.2">
      <c r="A135" s="1">
        <f>Returns!A122</f>
        <v>46081</v>
      </c>
      <c r="B135" s="20">
        <f t="shared" si="21"/>
        <v>222724325.30442381</v>
      </c>
      <c r="C135" s="18">
        <f t="shared" si="22"/>
        <v>0.51378407744900501</v>
      </c>
      <c r="D135" s="18">
        <f t="shared" si="23"/>
        <v>0.14549407761917177</v>
      </c>
      <c r="E135" s="18">
        <f t="shared" si="23"/>
        <v>4.7956908860198717E-2</v>
      </c>
      <c r="F135" s="18">
        <f t="shared" si="23"/>
        <v>8.5735109978581289E-2</v>
      </c>
      <c r="G135" s="18">
        <f t="shared" si="23"/>
        <v>4.8912384206993703E-2</v>
      </c>
      <c r="H135" s="18">
        <f t="shared" si="23"/>
        <v>6.4395186456206566E-2</v>
      </c>
      <c r="I135" s="18">
        <f t="shared" si="23"/>
        <v>9.3722255429842929E-2</v>
      </c>
      <c r="J135" s="12">
        <f>J134*(1+Returns!B122)</f>
        <v>115804314.59147267</v>
      </c>
      <c r="K135" s="12">
        <f>K134*(1+Returns!C122)</f>
        <v>32793624.161073819</v>
      </c>
      <c r="L135" s="12">
        <f>L134*(1+Returns!D122)</f>
        <v>10809243.034652535</v>
      </c>
      <c r="M135" s="12">
        <f>M134*(1+Returns!E122)</f>
        <v>19324257.17976746</v>
      </c>
      <c r="N135" s="12">
        <f>N134*(1+Returns!F122)</f>
        <v>11024602.312024506</v>
      </c>
      <c r="O135" s="12">
        <f>O134*(1+Returns!G122)</f>
        <v>14514347.092220359</v>
      </c>
      <c r="P135" s="12">
        <f>P134*(1+Returns!H122)</f>
        <v>21124519.089630865</v>
      </c>
      <c r="Q135" s="12">
        <f t="shared" si="15"/>
        <v>225394907.46084222</v>
      </c>
      <c r="R135" s="12">
        <f t="shared" si="16"/>
        <v>798273.63059048296</v>
      </c>
      <c r="S135" s="12">
        <f t="shared" si="17"/>
        <v>224596633.83025175</v>
      </c>
      <c r="T135" t="b">
        <f t="shared" si="18"/>
        <v>1</v>
      </c>
      <c r="U135" s="12">
        <f t="shared" si="19"/>
        <v>67618472.23825267</v>
      </c>
      <c r="V135" s="12">
        <f>IF($T135=TRUE, $Q135*$C$8, $K135)</f>
        <v>33809236.119126335</v>
      </c>
      <c r="W135" s="12">
        <f>IF($T135=TRUE, $Q135*$C$9, $L135)</f>
        <v>11269745.373042112</v>
      </c>
      <c r="X135" s="12">
        <f>IF($T135=TRUE, $Q135*$C$10, $M135)</f>
        <v>45078981.492168449</v>
      </c>
      <c r="Y135" s="12">
        <f>IF($T135=TRUE, $Q135*$C$11, $N135)</f>
        <v>22539490.746084224</v>
      </c>
      <c r="Z135" s="12">
        <f>IF($T135=TRUE, $Q135*$C$12, $O135)</f>
        <v>22539490.746084224</v>
      </c>
      <c r="AA135" s="12">
        <f>IF($T135=TRUE, $Q135*$C$13, $P135)</f>
        <v>22539490.746084224</v>
      </c>
      <c r="AB135" s="12">
        <f>U135-(1-$B$3)</f>
        <v>67618471.241794333</v>
      </c>
      <c r="AC135" s="12">
        <f t="shared" si="24"/>
        <v>33689495.074537762</v>
      </c>
      <c r="AD135" s="12">
        <f t="shared" si="24"/>
        <v>11229831.691512588</v>
      </c>
      <c r="AE135" s="12">
        <f t="shared" si="24"/>
        <v>44919326.766050354</v>
      </c>
      <c r="AF135" s="12">
        <f t="shared" si="24"/>
        <v>22459663.383025177</v>
      </c>
      <c r="AG135" s="12">
        <f t="shared" si="24"/>
        <v>22459663.383025177</v>
      </c>
      <c r="AH135" s="12">
        <f t="shared" si="24"/>
        <v>22459663.383025177</v>
      </c>
      <c r="AI135" s="12">
        <f t="shared" si="20"/>
        <v>224836114.92297053</v>
      </c>
    </row>
    <row r="136" spans="1:35" x14ac:dyDescent="0.2">
      <c r="A136" s="1"/>
    </row>
    <row r="137" spans="1:35" x14ac:dyDescent="0.2">
      <c r="A137" s="1"/>
    </row>
    <row r="138" spans="1:35" x14ac:dyDescent="0.2">
      <c r="A138" s="1"/>
    </row>
    <row r="139" spans="1:35" x14ac:dyDescent="0.2">
      <c r="A139" s="1"/>
    </row>
    <row r="140" spans="1:35" x14ac:dyDescent="0.2">
      <c r="A140" s="1"/>
    </row>
    <row r="141" spans="1:35" x14ac:dyDescent="0.2">
      <c r="A141" s="1"/>
    </row>
    <row r="142" spans="1:35" x14ac:dyDescent="0.2">
      <c r="A142" s="1"/>
    </row>
    <row r="143" spans="1:35" x14ac:dyDescent="0.2">
      <c r="A143" s="1"/>
    </row>
    <row r="144" spans="1:35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DCE9-8547-0A4D-B666-73F8C840523F}">
  <dimension ref="A1:I142"/>
  <sheetViews>
    <sheetView topLeftCell="A8" zoomScale="137" workbookViewId="0">
      <selection activeCell="A8" sqref="A1:XFD1048576"/>
    </sheetView>
  </sheetViews>
  <sheetFormatPr baseColWidth="10" defaultRowHeight="16" x14ac:dyDescent="0.2"/>
  <cols>
    <col min="2" max="2" width="15.33203125" bestFit="1" customWidth="1"/>
    <col min="3" max="3" width="15.33203125" customWidth="1"/>
  </cols>
  <sheetData>
    <row r="1" spans="1:9" x14ac:dyDescent="0.2">
      <c r="B1" t="s">
        <v>55</v>
      </c>
    </row>
    <row r="2" spans="1:9" x14ac:dyDescent="0.2">
      <c r="B2" s="25" t="s">
        <v>9</v>
      </c>
      <c r="C2" s="25" t="s">
        <v>26</v>
      </c>
      <c r="D2" s="25" t="s">
        <v>27</v>
      </c>
      <c r="E2" s="25" t="s">
        <v>63</v>
      </c>
      <c r="F2" s="25" t="s">
        <v>64</v>
      </c>
    </row>
    <row r="3" spans="1:9" x14ac:dyDescent="0.2">
      <c r="B3" s="22" t="s">
        <v>28</v>
      </c>
      <c r="C3" s="23" t="s">
        <v>2</v>
      </c>
      <c r="D3" s="24">
        <v>0.3</v>
      </c>
      <c r="E3" s="21">
        <v>0.25</v>
      </c>
      <c r="F3" s="21">
        <v>0.35</v>
      </c>
    </row>
    <row r="4" spans="1:9" x14ac:dyDescent="0.2">
      <c r="B4" s="22" t="s">
        <v>14</v>
      </c>
      <c r="C4" s="23" t="s">
        <v>3</v>
      </c>
      <c r="D4" s="24">
        <v>0.15</v>
      </c>
      <c r="E4" s="21">
        <v>0.1</v>
      </c>
      <c r="F4" s="21">
        <v>0.2</v>
      </c>
    </row>
    <row r="5" spans="1:9" x14ac:dyDescent="0.2">
      <c r="B5" s="22" t="s">
        <v>29</v>
      </c>
      <c r="C5" s="23" t="s">
        <v>4</v>
      </c>
      <c r="D5" s="24">
        <v>0.05</v>
      </c>
      <c r="E5" s="21">
        <v>0.02</v>
      </c>
      <c r="F5" s="21">
        <v>7.0000000000000007E-2</v>
      </c>
    </row>
    <row r="6" spans="1:9" x14ac:dyDescent="0.2">
      <c r="B6" s="22" t="s">
        <v>30</v>
      </c>
      <c r="C6" s="23" t="s">
        <v>5</v>
      </c>
      <c r="D6" s="24">
        <v>0.2</v>
      </c>
      <c r="E6" s="21">
        <v>0.15</v>
      </c>
      <c r="F6" s="21">
        <v>0.25</v>
      </c>
    </row>
    <row r="7" spans="1:9" x14ac:dyDescent="0.2">
      <c r="B7" s="22" t="s">
        <v>31</v>
      </c>
      <c r="C7" s="23" t="s">
        <v>6</v>
      </c>
      <c r="D7" s="24">
        <v>0.1</v>
      </c>
      <c r="E7" s="21">
        <v>0.05</v>
      </c>
      <c r="F7" s="21">
        <v>0.15</v>
      </c>
    </row>
    <row r="8" spans="1:9" x14ac:dyDescent="0.2">
      <c r="B8" s="22" t="s">
        <v>32</v>
      </c>
      <c r="C8" s="23" t="s">
        <v>7</v>
      </c>
      <c r="D8" s="24">
        <v>0.1</v>
      </c>
      <c r="E8" s="21">
        <v>0.05</v>
      </c>
      <c r="F8" s="21">
        <v>0.15</v>
      </c>
    </row>
    <row r="9" spans="1:9" x14ac:dyDescent="0.2">
      <c r="B9" s="22" t="s">
        <v>24</v>
      </c>
      <c r="C9" s="23" t="s">
        <v>8</v>
      </c>
      <c r="D9" s="24">
        <v>0.1</v>
      </c>
      <c r="E9" s="21">
        <v>0.05</v>
      </c>
      <c r="F9" s="21">
        <v>0.15</v>
      </c>
    </row>
    <row r="15" spans="1:9" x14ac:dyDescent="0.2">
      <c r="A15" t="s">
        <v>42</v>
      </c>
      <c r="B15" t="s">
        <v>68</v>
      </c>
      <c r="C15" t="s">
        <v>3</v>
      </c>
      <c r="D15" t="s">
        <v>4</v>
      </c>
      <c r="E15" t="s">
        <v>5</v>
      </c>
      <c r="F15" t="s">
        <v>6</v>
      </c>
      <c r="G15" t="s">
        <v>7</v>
      </c>
      <c r="H15" t="s">
        <v>8</v>
      </c>
      <c r="I15" t="s">
        <v>69</v>
      </c>
    </row>
    <row r="16" spans="1:9" x14ac:dyDescent="0.2">
      <c r="A16" s="1">
        <f>'Rebalancing Simulation'!A16</f>
        <v>42460</v>
      </c>
      <c r="B16" s="10">
        <f>'Rebalancing Simulation'!C16 -$D$3</f>
        <v>0</v>
      </c>
      <c r="C16" s="10">
        <f>'Rebalancing Simulation'!D16-Deviation!$D$4</f>
        <v>0</v>
      </c>
      <c r="D16" s="10">
        <f>'Rebalancing Simulation'!E16-Deviation!$D$5</f>
        <v>0</v>
      </c>
      <c r="E16" s="10">
        <f>'Rebalancing Simulation'!F16-Deviation!$D$6</f>
        <v>0</v>
      </c>
      <c r="F16" s="10">
        <f>'Rebalancing Simulation'!G16-Deviation!$D$7</f>
        <v>0</v>
      </c>
      <c r="G16" s="10">
        <f>'Rebalancing Simulation'!H16-Deviation!$D$8</f>
        <v>0</v>
      </c>
      <c r="H16" s="10">
        <f>'Rebalancing Simulation'!I16-Deviation!$D$9</f>
        <v>0</v>
      </c>
      <c r="I16">
        <f>IF(
   OR(
      ABS(B16)&gt;5%,
      ABS(C16)&gt;5%,
      ABS(D16)&gt;2%,
      ABS(E16)&gt;5%,
      ABS(F16)&gt;5%,
      ABS(G16)&gt;5%,
      ABS(H16)&gt;5%
   ),
1,
0
)</f>
        <v>0</v>
      </c>
    </row>
    <row r="17" spans="1:9" x14ac:dyDescent="0.2">
      <c r="A17" s="1">
        <f>'Rebalancing Simulation'!A17</f>
        <v>42490</v>
      </c>
      <c r="B17" s="10">
        <f>'Rebalancing Simulation'!C17 -$D$3</f>
        <v>-6.164204376309379E-4</v>
      </c>
      <c r="C17" s="10">
        <f>'Rebalancing Simulation'!D17-Deviation!$D$4</f>
        <v>2.4413571830461667E-3</v>
      </c>
      <c r="D17" s="10">
        <f>'Rebalancing Simulation'!E17-Deviation!$D$5</f>
        <v>-5.9581145804434021E-5</v>
      </c>
      <c r="E17" s="10">
        <f>'Rebalancing Simulation'!F17-Deviation!$D$6</f>
        <v>-1.5011631488172916E-3</v>
      </c>
      <c r="F17" s="10">
        <f>'Rebalancing Simulation'!G17-Deviation!$D$7</f>
        <v>9.9885356227252808E-4</v>
      </c>
      <c r="G17" s="10">
        <f>'Rebalancing Simulation'!H17-Deviation!$D$8</f>
        <v>-2.916657696632588E-3</v>
      </c>
      <c r="H17" s="10">
        <f>'Rebalancing Simulation'!I17-Deviation!$D$9</f>
        <v>1.653611683566425E-3</v>
      </c>
      <c r="I17">
        <f t="shared" ref="I17:I80" si="0">IF(
   OR(
      ABS(B17)&gt;5%,
      ABS(C17)&gt;5%,
      ABS(D17)&gt;2%,
      ABS(E17)&gt;5%,
      ABS(F17)&gt;5%,
      ABS(G17)&gt;5%,
      ABS(H17)&gt;5%
   ),
1,
0
)</f>
        <v>0</v>
      </c>
    </row>
    <row r="18" spans="1:9" x14ac:dyDescent="0.2">
      <c r="A18" s="1">
        <f>'Rebalancing Simulation'!A18</f>
        <v>42521</v>
      </c>
      <c r="B18" s="10">
        <f>'Rebalancing Simulation'!C18 -$D$3</f>
        <v>3.2075628124043631E-3</v>
      </c>
      <c r="C18" s="10">
        <f>'Rebalancing Simulation'!D18-Deviation!$D$4</f>
        <v>1.6694896916759905E-3</v>
      </c>
      <c r="D18" s="10">
        <f>'Rebalancing Simulation'!E18-Deviation!$D$5</f>
        <v>-2.1379453187412162E-3</v>
      </c>
      <c r="E18" s="10">
        <f>'Rebalancing Simulation'!F18-Deviation!$D$6</f>
        <v>-2.5014250517589875E-3</v>
      </c>
      <c r="F18" s="10">
        <f>'Rebalancing Simulation'!G18-Deviation!$D$7</f>
        <v>7.1154875445025856E-5</v>
      </c>
      <c r="G18" s="10">
        <f>'Rebalancing Simulation'!H18-Deviation!$D$8</f>
        <v>-1.156676937023246E-3</v>
      </c>
      <c r="H18" s="10">
        <f>'Rebalancing Simulation'!I18-Deviation!$D$9</f>
        <v>8.4783992799819519E-4</v>
      </c>
      <c r="I18">
        <f t="shared" si="0"/>
        <v>0</v>
      </c>
    </row>
    <row r="19" spans="1:9" x14ac:dyDescent="0.2">
      <c r="A19" s="1">
        <f>'Rebalancing Simulation'!A19</f>
        <v>42551</v>
      </c>
      <c r="B19" s="10">
        <f>'Rebalancing Simulation'!C19 -$D$3</f>
        <v>-1.3479650761425988E-3</v>
      </c>
      <c r="C19" s="10">
        <f>'Rebalancing Simulation'!D19-Deviation!$D$4</f>
        <v>-4.728515285611995E-3</v>
      </c>
      <c r="D19" s="10">
        <f>'Rebalancing Simulation'!E19-Deviation!$D$5</f>
        <v>-8.7505218129739493E-4</v>
      </c>
      <c r="E19" s="10">
        <f>'Rebalancing Simulation'!F19-Deviation!$D$6</f>
        <v>-1.8691371416990066E-4</v>
      </c>
      <c r="F19" s="10">
        <f>'Rebalancing Simulation'!G19-Deviation!$D$7</f>
        <v>1.2158479644351072E-3</v>
      </c>
      <c r="G19" s="10">
        <f>'Rebalancing Simulation'!H19-Deviation!$D$8</f>
        <v>3.7494096718908437E-3</v>
      </c>
      <c r="H19" s="10">
        <f>'Rebalancing Simulation'!I19-Deviation!$D$9</f>
        <v>2.1731886208960494E-3</v>
      </c>
      <c r="I19">
        <f t="shared" si="0"/>
        <v>0</v>
      </c>
    </row>
    <row r="20" spans="1:9" x14ac:dyDescent="0.2">
      <c r="A20" s="1">
        <f>'Rebalancing Simulation'!A20</f>
        <v>42582</v>
      </c>
      <c r="B20" s="10">
        <f>'Rebalancing Simulation'!C20 -$D$3</f>
        <v>1.0608853308142763E-3</v>
      </c>
      <c r="C20" s="10">
        <f>'Rebalancing Simulation'!D20-Deviation!$D$4</f>
        <v>-3.1288755636609822E-3</v>
      </c>
      <c r="D20" s="10">
        <f>'Rebalancing Simulation'!E20-Deviation!$D$5</f>
        <v>3.4094480075571448E-4</v>
      </c>
      <c r="E20" s="10">
        <f>'Rebalancing Simulation'!F20-Deviation!$D$6</f>
        <v>-5.1675196444802285E-3</v>
      </c>
      <c r="F20" s="10">
        <f>'Rebalancing Simulation'!G20-Deviation!$D$7</f>
        <v>-2.6606630435119238E-4</v>
      </c>
      <c r="G20" s="10">
        <f>'Rebalancing Simulation'!H20-Deviation!$D$8</f>
        <v>5.192381838687754E-3</v>
      </c>
      <c r="H20" s="10">
        <f>'Rebalancing Simulation'!I20-Deviation!$D$9</f>
        <v>1.9682495422347762E-3</v>
      </c>
      <c r="I20">
        <f t="shared" si="0"/>
        <v>0</v>
      </c>
    </row>
    <row r="21" spans="1:9" x14ac:dyDescent="0.2">
      <c r="A21" s="1">
        <f>'Rebalancing Simulation'!A21</f>
        <v>42613</v>
      </c>
      <c r="B21" s="10">
        <f>'Rebalancing Simulation'!C21 -$D$3</f>
        <v>3.2247907313603386E-3</v>
      </c>
      <c r="C21" s="10">
        <f>'Rebalancing Simulation'!D21-Deviation!$D$4</f>
        <v>-1.4768121905398002E-3</v>
      </c>
      <c r="D21" s="10">
        <f>'Rebalancing Simulation'!E21-Deviation!$D$5</f>
        <v>1.0951240471441179E-3</v>
      </c>
      <c r="E21" s="10">
        <f>'Rebalancing Simulation'!F21-Deviation!$D$6</f>
        <v>-5.9536397187596735E-3</v>
      </c>
      <c r="F21" s="10">
        <f>'Rebalancing Simulation'!G21-Deviation!$D$7</f>
        <v>4.780285901246073E-4</v>
      </c>
      <c r="G21" s="10">
        <f>'Rebalancing Simulation'!H21-Deviation!$D$8</f>
        <v>1.8362624261119564E-3</v>
      </c>
      <c r="H21" s="10">
        <f>'Rebalancing Simulation'!I21-Deviation!$D$9</f>
        <v>7.9624611455836325E-4</v>
      </c>
      <c r="I21">
        <f t="shared" si="0"/>
        <v>0</v>
      </c>
    </row>
    <row r="22" spans="1:9" x14ac:dyDescent="0.2">
      <c r="A22" s="1">
        <f>'Rebalancing Simulation'!A22</f>
        <v>42643</v>
      </c>
      <c r="B22" s="10">
        <f>'Rebalancing Simulation'!C22 -$D$3</f>
        <v>2.1793306903806764E-3</v>
      </c>
      <c r="C22" s="10">
        <f>'Rebalancing Simulation'!D22-Deviation!$D$4</f>
        <v>2.9851551610504679E-5</v>
      </c>
      <c r="D22" s="10">
        <f>'Rebalancing Simulation'!E22-Deviation!$D$5</f>
        <v>2.196092929206292E-3</v>
      </c>
      <c r="E22" s="10">
        <f>'Rebalancing Simulation'!F22-Deviation!$D$6</f>
        <v>-6.1999201003792859E-3</v>
      </c>
      <c r="F22" s="10">
        <f>'Rebalancing Simulation'!G22-Deviation!$D$7</f>
        <v>-1.3581862324693605E-4</v>
      </c>
      <c r="G22" s="10">
        <f>'Rebalancing Simulation'!H22-Deviation!$D$8</f>
        <v>-3.8093371491063066E-4</v>
      </c>
      <c r="H22" s="10">
        <f>'Rebalancing Simulation'!I22-Deviation!$D$9</f>
        <v>2.311397267339324E-3</v>
      </c>
      <c r="I22">
        <f t="shared" si="0"/>
        <v>0</v>
      </c>
    </row>
    <row r="23" spans="1:9" x14ac:dyDescent="0.2">
      <c r="A23" s="1">
        <f>'Rebalancing Simulation'!A23</f>
        <v>42674</v>
      </c>
      <c r="B23" s="10">
        <f>'Rebalancing Simulation'!C23 -$D$3</f>
        <v>3.7608331058323063E-3</v>
      </c>
      <c r="C23" s="10">
        <f>'Rebalancing Simulation'!D23-Deviation!$D$4</f>
        <v>7.2986041109890376E-5</v>
      </c>
      <c r="D23" s="10">
        <f>'Rebalancing Simulation'!E23-Deviation!$D$5</f>
        <v>2.9579712944872716E-3</v>
      </c>
      <c r="E23" s="10">
        <f>'Rebalancing Simulation'!F23-Deviation!$D$6</f>
        <v>-4.7186754844347756E-3</v>
      </c>
      <c r="F23" s="10">
        <f>'Rebalancing Simulation'!G23-Deviation!$D$7</f>
        <v>5.5719162831846525E-4</v>
      </c>
      <c r="G23" s="10">
        <f>'Rebalancing Simulation'!H23-Deviation!$D$8</f>
        <v>-3.9293566099711658E-3</v>
      </c>
      <c r="H23" s="10">
        <f>'Rebalancing Simulation'!I23-Deviation!$D$9</f>
        <v>1.2990500246579384E-3</v>
      </c>
      <c r="I23">
        <f t="shared" si="0"/>
        <v>0</v>
      </c>
    </row>
    <row r="24" spans="1:9" x14ac:dyDescent="0.2">
      <c r="A24" s="1">
        <f>'Rebalancing Simulation'!A24</f>
        <v>42704</v>
      </c>
      <c r="B24" s="10">
        <f>'Rebalancing Simulation'!C24 -$D$3</f>
        <v>1.8458454075331476E-2</v>
      </c>
      <c r="C24" s="10">
        <f>'Rebalancing Simulation'!D24-Deviation!$D$4</f>
        <v>-9.4016457974890888E-4</v>
      </c>
      <c r="D24" s="10">
        <f>'Rebalancing Simulation'!E24-Deviation!$D$5</f>
        <v>1.1803967472716823E-3</v>
      </c>
      <c r="E24" s="10">
        <f>'Rebalancing Simulation'!F24-Deviation!$D$6</f>
        <v>-1.0941286090133284E-2</v>
      </c>
      <c r="F24" s="10">
        <f>'Rebalancing Simulation'!G24-Deviation!$D$7</f>
        <v>-1.5196970114752517E-3</v>
      </c>
      <c r="G24" s="10">
        <f>'Rebalancing Simulation'!H24-Deviation!$D$8</f>
        <v>-4.4849263135801204E-3</v>
      </c>
      <c r="H24" s="10">
        <f>'Rebalancing Simulation'!I24-Deviation!$D$9</f>
        <v>-1.7527768276656558E-3</v>
      </c>
      <c r="I24">
        <f t="shared" si="0"/>
        <v>0</v>
      </c>
    </row>
    <row r="25" spans="1:9" x14ac:dyDescent="0.2">
      <c r="A25" s="1">
        <f>'Rebalancing Simulation'!A25</f>
        <v>42735</v>
      </c>
      <c r="B25" s="10">
        <f>'Rebalancing Simulation'!C25 -$D$3</f>
        <v>1.9126165882154544E-2</v>
      </c>
      <c r="C25" s="10">
        <f>'Rebalancing Simulation'!D25-Deviation!$D$4</f>
        <v>3.5492325093594568E-4</v>
      </c>
      <c r="D25" s="10">
        <f>'Rebalancing Simulation'!E25-Deviation!$D$5</f>
        <v>1.499351923659048E-4</v>
      </c>
      <c r="E25" s="10">
        <f>'Rebalancing Simulation'!F25-Deviation!$D$6</f>
        <v>-1.450230478391662E-2</v>
      </c>
      <c r="F25" s="10">
        <f>'Rebalancing Simulation'!G25-Deviation!$D$7</f>
        <v>-2.4470698102716931E-3</v>
      </c>
      <c r="G25" s="10">
        <f>'Rebalancing Simulation'!H25-Deviation!$D$8</f>
        <v>-1.6726750509564736E-3</v>
      </c>
      <c r="H25" s="10">
        <f>'Rebalancing Simulation'!I25-Deviation!$D$9</f>
        <v>-1.0089746803115529E-3</v>
      </c>
      <c r="I25">
        <f t="shared" si="0"/>
        <v>0</v>
      </c>
    </row>
    <row r="26" spans="1:9" x14ac:dyDescent="0.2">
      <c r="A26" s="1">
        <f>'Rebalancing Simulation'!A26</f>
        <v>42766</v>
      </c>
      <c r="B26" s="10">
        <f>'Rebalancing Simulation'!C26 -$D$3</f>
        <v>1.9704942540484049E-2</v>
      </c>
      <c r="C26" s="10">
        <f>'Rebalancing Simulation'!D26-Deviation!$D$4</f>
        <v>2.8540486061519599E-3</v>
      </c>
      <c r="D26" s="10">
        <f>'Rebalancing Simulation'!E26-Deviation!$D$5</f>
        <v>2.6369558287762246E-3</v>
      </c>
      <c r="E26" s="10">
        <f>'Rebalancing Simulation'!F26-Deviation!$D$6</f>
        <v>-1.7034733501481575E-2</v>
      </c>
      <c r="F26" s="10">
        <f>'Rebalancing Simulation'!G26-Deviation!$D$7</f>
        <v>-3.8656621724640072E-3</v>
      </c>
      <c r="G26" s="10">
        <f>'Rebalancing Simulation'!H26-Deviation!$D$8</f>
        <v>-3.409036287420994E-3</v>
      </c>
      <c r="H26" s="10">
        <f>'Rebalancing Simulation'!I26-Deviation!$D$9</f>
        <v>-8.865150140456024E-4</v>
      </c>
      <c r="I26">
        <f t="shared" si="0"/>
        <v>0</v>
      </c>
    </row>
    <row r="27" spans="1:9" x14ac:dyDescent="0.2">
      <c r="A27" s="1">
        <f>'Rebalancing Simulation'!A27</f>
        <v>42794</v>
      </c>
      <c r="B27" s="10">
        <f>'Rebalancing Simulation'!C27 -$D$3</f>
        <v>2.4476940653964829E-2</v>
      </c>
      <c r="C27" s="10">
        <f>'Rebalancing Simulation'!D27-Deviation!$D$4</f>
        <v>1.0359002598913924E-3</v>
      </c>
      <c r="D27" s="10">
        <f>'Rebalancing Simulation'!E27-Deviation!$D$5</f>
        <v>2.2939270168961176E-3</v>
      </c>
      <c r="E27" s="10">
        <f>'Rebalancing Simulation'!F27-Deviation!$D$6</f>
        <v>-1.9957060098854118E-2</v>
      </c>
      <c r="F27" s="10">
        <f>'Rebalancing Simulation'!G27-Deviation!$D$7</f>
        <v>-4.9191639113470159E-3</v>
      </c>
      <c r="G27" s="10">
        <f>'Rebalancing Simulation'!H27-Deviation!$D$8</f>
        <v>-2.3724773765139984E-3</v>
      </c>
      <c r="H27" s="10">
        <f>'Rebalancing Simulation'!I27-Deviation!$D$9</f>
        <v>-5.5806654403735279E-4</v>
      </c>
      <c r="I27">
        <f t="shared" si="0"/>
        <v>0</v>
      </c>
    </row>
    <row r="28" spans="1:9" x14ac:dyDescent="0.2">
      <c r="A28" s="1">
        <f>'Rebalancing Simulation'!A28</f>
        <v>42825</v>
      </c>
      <c r="B28" s="10">
        <f>'Rebalancing Simulation'!C28 -$D$3</f>
        <v>2.2144993241242195E-2</v>
      </c>
      <c r="C28" s="10">
        <f>'Rebalancing Simulation'!D28-Deviation!$D$4</f>
        <v>4.6320945929979873E-3</v>
      </c>
      <c r="D28" s="10">
        <f>'Rebalancing Simulation'!E28-Deviation!$D$5</f>
        <v>3.7726443540895202E-3</v>
      </c>
      <c r="E28" s="10">
        <f>'Rebalancing Simulation'!F28-Deviation!$D$6</f>
        <v>-2.1304000780715981E-2</v>
      </c>
      <c r="F28" s="10">
        <f>'Rebalancing Simulation'!G28-Deviation!$D$7</f>
        <v>-5.9794320786126648E-3</v>
      </c>
      <c r="G28" s="10">
        <f>'Rebalancing Simulation'!H28-Deviation!$D$8</f>
        <v>-5.5327147632072693E-3</v>
      </c>
      <c r="H28" s="10">
        <f>'Rebalancing Simulation'!I28-Deviation!$D$9</f>
        <v>2.2664154342060538E-3</v>
      </c>
      <c r="I28">
        <f t="shared" si="0"/>
        <v>0</v>
      </c>
    </row>
    <row r="29" spans="1:9" x14ac:dyDescent="0.2">
      <c r="A29" s="1">
        <f>'Rebalancing Simulation'!A29</f>
        <v>42855</v>
      </c>
      <c r="B29" s="10">
        <f>'Rebalancing Simulation'!C29 -$D$3</f>
        <v>2.1277527427578768E-2</v>
      </c>
      <c r="C29" s="10">
        <f>'Rebalancing Simulation'!D29-Deviation!$D$4</f>
        <v>6.4064311041562849E-3</v>
      </c>
      <c r="D29" s="10">
        <f>'Rebalancing Simulation'!E29-Deviation!$D$5</f>
        <v>4.0035963117419499E-3</v>
      </c>
      <c r="E29" s="10">
        <f>'Rebalancing Simulation'!F29-Deviation!$D$6</f>
        <v>-2.1626564361233724E-2</v>
      </c>
      <c r="F29" s="10">
        <f>'Rebalancing Simulation'!G29-Deviation!$D$7</f>
        <v>-6.0434062565027369E-3</v>
      </c>
      <c r="G29" s="10">
        <f>'Rebalancing Simulation'!H29-Deviation!$D$8</f>
        <v>-6.4897543176014733E-3</v>
      </c>
      <c r="H29" s="10">
        <f>'Rebalancing Simulation'!I29-Deviation!$D$9</f>
        <v>2.4721700918609035E-3</v>
      </c>
      <c r="I29">
        <f t="shared" si="0"/>
        <v>0</v>
      </c>
    </row>
    <row r="30" spans="1:9" x14ac:dyDescent="0.2">
      <c r="A30" s="1">
        <f>'Rebalancing Simulation'!A30</f>
        <v>42886</v>
      </c>
      <c r="B30" s="10">
        <f>'Rebalancing Simulation'!C30 -$D$3</f>
        <v>2.0156120853436377E-2</v>
      </c>
      <c r="C30" s="10">
        <f>'Rebalancing Simulation'!D30-Deviation!$D$4</f>
        <v>9.0917467242105643E-3</v>
      </c>
      <c r="D30" s="10">
        <f>'Rebalancing Simulation'!E30-Deviation!$D$5</f>
        <v>4.5674155619667353E-3</v>
      </c>
      <c r="E30" s="10">
        <f>'Rebalancing Simulation'!F30-Deviation!$D$6</f>
        <v>-2.3308383282278938E-2</v>
      </c>
      <c r="F30" s="10">
        <f>'Rebalancing Simulation'!G30-Deviation!$D$7</f>
        <v>-6.4094400367385174E-3</v>
      </c>
      <c r="G30" s="10">
        <f>'Rebalancing Simulation'!H30-Deviation!$D$8</f>
        <v>-8.8009945722772043E-3</v>
      </c>
      <c r="H30" s="10">
        <f>'Rebalancing Simulation'!I30-Deviation!$D$9</f>
        <v>4.7035347516810322E-3</v>
      </c>
      <c r="I30">
        <f t="shared" si="0"/>
        <v>0</v>
      </c>
    </row>
    <row r="31" spans="1:9" x14ac:dyDescent="0.2">
      <c r="A31" s="1">
        <f>'Rebalancing Simulation'!A31</f>
        <v>42916</v>
      </c>
      <c r="B31" s="10">
        <f>'Rebalancing Simulation'!C31 -$D$3</f>
        <v>2.0676804245743918E-2</v>
      </c>
      <c r="C31" s="10">
        <f>'Rebalancing Simulation'!D31-Deviation!$D$4</f>
        <v>8.8371853590309968E-3</v>
      </c>
      <c r="D31" s="10">
        <f>'Rebalancing Simulation'!E31-Deviation!$D$5</f>
        <v>4.816925251841124E-3</v>
      </c>
      <c r="E31" s="10">
        <f>'Rebalancing Simulation'!F31-Deviation!$D$6</f>
        <v>-2.5032927200231619E-2</v>
      </c>
      <c r="F31" s="10">
        <f>'Rebalancing Simulation'!G31-Deviation!$D$7</f>
        <v>-6.4265173089539801E-3</v>
      </c>
      <c r="G31" s="10">
        <f>'Rebalancing Simulation'!H31-Deviation!$D$8</f>
        <v>-7.1794142388745819E-3</v>
      </c>
      <c r="H31" s="10">
        <f>'Rebalancing Simulation'!I31-Deviation!$D$9</f>
        <v>4.307943891444177E-3</v>
      </c>
      <c r="I31">
        <f t="shared" si="0"/>
        <v>0</v>
      </c>
    </row>
    <row r="32" spans="1:9" x14ac:dyDescent="0.2">
      <c r="A32" s="1">
        <f>'Rebalancing Simulation'!A32</f>
        <v>42947</v>
      </c>
      <c r="B32" s="10">
        <f>'Rebalancing Simulation'!C32 -$D$3</f>
        <v>2.0993392055945748E-2</v>
      </c>
      <c r="C32" s="10">
        <f>'Rebalancing Simulation'!D32-Deviation!$D$4</f>
        <v>9.9122308884075638E-3</v>
      </c>
      <c r="D32" s="10">
        <f>'Rebalancing Simulation'!E32-Deviation!$D$5</f>
        <v>6.8959463953752187E-3</v>
      </c>
      <c r="E32" s="10">
        <f>'Rebalancing Simulation'!F32-Deviation!$D$6</f>
        <v>-2.7756560012196785E-2</v>
      </c>
      <c r="F32" s="10">
        <f>'Rebalancing Simulation'!G32-Deviation!$D$7</f>
        <v>-7.5294576842922789E-3</v>
      </c>
      <c r="G32" s="10">
        <f>'Rebalancing Simulation'!H32-Deviation!$D$8</f>
        <v>-7.8433218114812853E-3</v>
      </c>
      <c r="H32" s="10">
        <f>'Rebalancing Simulation'!I32-Deviation!$D$9</f>
        <v>5.3277701682417217E-3</v>
      </c>
      <c r="I32">
        <f t="shared" si="0"/>
        <v>0</v>
      </c>
    </row>
    <row r="33" spans="1:9" x14ac:dyDescent="0.2">
      <c r="A33" s="1">
        <f>'Rebalancing Simulation'!A33</f>
        <v>42978</v>
      </c>
      <c r="B33" s="10">
        <f>'Rebalancing Simulation'!C33 -$D$3</f>
        <v>1.9742305365456958E-2</v>
      </c>
      <c r="C33" s="10">
        <f>'Rebalancing Simulation'!D33-Deviation!$D$4</f>
        <v>8.7474164851508718E-3</v>
      </c>
      <c r="D33" s="10">
        <f>'Rebalancing Simulation'!E33-Deviation!$D$5</f>
        <v>7.8371224024014682E-3</v>
      </c>
      <c r="E33" s="10">
        <f>'Rebalancing Simulation'!F33-Deviation!$D$6</f>
        <v>-2.6436388279718115E-2</v>
      </c>
      <c r="F33" s="10">
        <f>'Rebalancing Simulation'!G33-Deviation!$D$7</f>
        <v>-7.550506089265524E-3</v>
      </c>
      <c r="G33" s="10">
        <f>'Rebalancing Simulation'!H33-Deviation!$D$8</f>
        <v>-8.7060247670959212E-3</v>
      </c>
      <c r="H33" s="10">
        <f>'Rebalancing Simulation'!I33-Deviation!$D$9</f>
        <v>6.3660748830704078E-3</v>
      </c>
      <c r="I33">
        <f t="shared" si="0"/>
        <v>0</v>
      </c>
    </row>
    <row r="34" spans="1:9" x14ac:dyDescent="0.2">
      <c r="A34" s="1">
        <f>'Rebalancing Simulation'!A34</f>
        <v>43008</v>
      </c>
      <c r="B34" s="10">
        <f>'Rebalancing Simulation'!C34 -$D$3</f>
        <v>2.4350923062370078E-2</v>
      </c>
      <c r="C34" s="10">
        <f>'Rebalancing Simulation'!D34-Deviation!$D$4</f>
        <v>1.156946608281284E-2</v>
      </c>
      <c r="D34" s="10">
        <f>'Rebalancing Simulation'!E34-Deviation!$D$5</f>
        <v>7.4829567078520537E-3</v>
      </c>
      <c r="E34" s="10">
        <f>'Rebalancing Simulation'!F34-Deviation!$D$6</f>
        <v>-2.9914040325279639E-2</v>
      </c>
      <c r="F34" s="10">
        <f>'Rebalancing Simulation'!G34-Deviation!$D$7</f>
        <v>-8.127466180860396E-3</v>
      </c>
      <c r="G34" s="10">
        <f>'Rebalancing Simulation'!H34-Deviation!$D$8</f>
        <v>-9.3308759332612068E-3</v>
      </c>
      <c r="H34" s="10">
        <f>'Rebalancing Simulation'!I34-Deviation!$D$9</f>
        <v>3.9690365863662147E-3</v>
      </c>
      <c r="I34">
        <f t="shared" si="0"/>
        <v>0</v>
      </c>
    </row>
    <row r="35" spans="1:9" x14ac:dyDescent="0.2">
      <c r="A35" s="1">
        <f>'Rebalancing Simulation'!A35</f>
        <v>43039</v>
      </c>
      <c r="B35" s="10">
        <f>'Rebalancing Simulation'!C35 -$D$3</f>
        <v>2.8100124486066913E-2</v>
      </c>
      <c r="C35" s="10">
        <f>'Rebalancing Simulation'!D35-Deviation!$D$4</f>
        <v>1.2378679639628826E-2</v>
      </c>
      <c r="D35" s="10">
        <f>'Rebalancing Simulation'!E35-Deviation!$D$5</f>
        <v>8.6760133267373557E-3</v>
      </c>
      <c r="E35" s="10">
        <f>'Rebalancing Simulation'!F35-Deviation!$D$6</f>
        <v>-3.2202366068377203E-2</v>
      </c>
      <c r="F35" s="10">
        <f>'Rebalancing Simulation'!G35-Deviation!$D$7</f>
        <v>-9.015281071029127E-3</v>
      </c>
      <c r="G35" s="10">
        <f>'Rebalancing Simulation'!H35-Deviation!$D$8</f>
        <v>-1.135199555888787E-2</v>
      </c>
      <c r="H35" s="10">
        <f>'Rebalancing Simulation'!I35-Deviation!$D$9</f>
        <v>3.4148252458612305E-3</v>
      </c>
      <c r="I35">
        <f t="shared" si="0"/>
        <v>0</v>
      </c>
    </row>
    <row r="36" spans="1:9" x14ac:dyDescent="0.2">
      <c r="A36" s="1">
        <f>'Rebalancing Simulation'!A36</f>
        <v>43069</v>
      </c>
      <c r="B36" s="10">
        <f>'Rebalancing Simulation'!C36 -$D$3</f>
        <v>3.3302276811248699E-2</v>
      </c>
      <c r="C36" s="10">
        <f>'Rebalancing Simulation'!D36-Deviation!$D$4</f>
        <v>1.1173261926721079E-2</v>
      </c>
      <c r="D36" s="10">
        <f>'Rebalancing Simulation'!E36-Deviation!$D$5</f>
        <v>7.6178582310321777E-3</v>
      </c>
      <c r="E36" s="10">
        <f>'Rebalancing Simulation'!F36-Deviation!$D$6</f>
        <v>-3.5038150155766667E-2</v>
      </c>
      <c r="F36" s="10">
        <f>'Rebalancing Simulation'!G36-Deviation!$D$7</f>
        <v>-1.042531066087421E-2</v>
      </c>
      <c r="G36" s="10">
        <f>'Rebalancing Simulation'!H36-Deviation!$D$8</f>
        <v>-1.0278374417736894E-2</v>
      </c>
      <c r="H36" s="10">
        <f>'Rebalancing Simulation'!I36-Deviation!$D$9</f>
        <v>3.6484382653756697E-3</v>
      </c>
      <c r="I36">
        <f t="shared" si="0"/>
        <v>0</v>
      </c>
    </row>
    <row r="37" spans="1:9" x14ac:dyDescent="0.2">
      <c r="A37" s="1">
        <f>'Rebalancing Simulation'!A37</f>
        <v>43100</v>
      </c>
      <c r="B37" s="10">
        <f>'Rebalancing Simulation'!C37 -$D$3</f>
        <v>3.4488103047320973E-2</v>
      </c>
      <c r="C37" s="10">
        <f>'Rebalancing Simulation'!D37-Deviation!$D$4</f>
        <v>1.1944532116231116E-2</v>
      </c>
      <c r="D37" s="10">
        <f>'Rebalancing Simulation'!E37-Deviation!$D$5</f>
        <v>9.2811997794748635E-3</v>
      </c>
      <c r="E37" s="10">
        <f>'Rebalancing Simulation'!F37-Deviation!$D$6</f>
        <v>-3.6173816055562663E-2</v>
      </c>
      <c r="F37" s="10">
        <f>'Rebalancing Simulation'!G37-Deviation!$D$7</f>
        <v>-1.007124274168246E-2</v>
      </c>
      <c r="G37" s="10">
        <f>'Rebalancing Simulation'!H37-Deviation!$D$8</f>
        <v>-1.1179339654863327E-2</v>
      </c>
      <c r="H37" s="10">
        <f>'Rebalancing Simulation'!I37-Deviation!$D$9</f>
        <v>1.7105635090813864E-3</v>
      </c>
      <c r="I37">
        <f t="shared" si="0"/>
        <v>0</v>
      </c>
    </row>
    <row r="38" spans="1:9" x14ac:dyDescent="0.2">
      <c r="A38" s="1">
        <f>'Rebalancing Simulation'!A38</f>
        <v>43131</v>
      </c>
      <c r="B38" s="10">
        <f>'Rebalancing Simulation'!C38 -$D$3</f>
        <v>4.4789701595522757E-2</v>
      </c>
      <c r="C38" s="10">
        <f>'Rebalancing Simulation'!D38-Deviation!$D$4</f>
        <v>1.5977358770428413E-2</v>
      </c>
      <c r="D38" s="10">
        <f>'Rebalancing Simulation'!E38-Deviation!$D$5</f>
        <v>1.2650239241529138E-2</v>
      </c>
      <c r="E38" s="10">
        <f>'Rebalancing Simulation'!F38-Deviation!$D$6</f>
        <v>-4.351875642357006E-2</v>
      </c>
      <c r="F38" s="10">
        <f>'Rebalancing Simulation'!G38-Deviation!$D$7</f>
        <v>-1.3351916355901564E-2</v>
      </c>
      <c r="G38" s="10">
        <f>'Rebalancing Simulation'!H38-Deviation!$D$8</f>
        <v>-1.7008866977098677E-2</v>
      </c>
      <c r="H38" s="10">
        <f>'Rebalancing Simulation'!I38-Deviation!$D$9</f>
        <v>4.6224014908993749E-4</v>
      </c>
      <c r="I38">
        <f t="shared" si="0"/>
        <v>0</v>
      </c>
    </row>
    <row r="39" spans="1:9" x14ac:dyDescent="0.2">
      <c r="A39" s="1">
        <f>'Rebalancing Simulation'!A39</f>
        <v>43159</v>
      </c>
      <c r="B39" s="10">
        <f>'Rebalancing Simulation'!C39 -$D$3</f>
        <v>4.6419477053203484E-2</v>
      </c>
      <c r="C39" s="10">
        <f>'Rebalancing Simulation'!D39-Deviation!$D$4</f>
        <v>1.4680007630529651E-2</v>
      </c>
      <c r="D39" s="10">
        <f>'Rebalancing Simulation'!E39-Deviation!$D$5</f>
        <v>1.1464590764897607E-2</v>
      </c>
      <c r="E39" s="10">
        <f>'Rebalancing Simulation'!F39-Deviation!$D$6</f>
        <v>-3.8404699475472343E-2</v>
      </c>
      <c r="F39" s="10">
        <f>'Rebalancing Simulation'!G39-Deviation!$D$7</f>
        <v>-1.1657741943228675E-2</v>
      </c>
      <c r="G39" s="10">
        <f>'Rebalancing Simulation'!H39-Deviation!$D$8</f>
        <v>-2.0117310796573626E-2</v>
      </c>
      <c r="H39" s="10">
        <f>'Rebalancing Simulation'!I39-Deviation!$D$9</f>
        <v>-2.3843232333561476E-3</v>
      </c>
      <c r="I39">
        <f t="shared" si="0"/>
        <v>0</v>
      </c>
    </row>
    <row r="40" spans="1:9" x14ac:dyDescent="0.2">
      <c r="A40" s="1">
        <f>'Rebalancing Simulation'!A40</f>
        <v>43190</v>
      </c>
      <c r="B40" s="10">
        <f>'Rebalancing Simulation'!C40 -$D$3</f>
        <v>3.8490814837960852E-2</v>
      </c>
      <c r="C40" s="10">
        <f>'Rebalancing Simulation'!D40-Deviation!$D$4</f>
        <v>1.4053944248913125E-2</v>
      </c>
      <c r="D40" s="10">
        <f>'Rebalancing Simulation'!E40-Deviation!$D$5</f>
        <v>1.2082958483819746E-2</v>
      </c>
      <c r="E40" s="10">
        <f>'Rebalancing Simulation'!F40-Deviation!$D$6</f>
        <v>-3.575623914169998E-2</v>
      </c>
      <c r="F40" s="10">
        <f>'Rebalancing Simulation'!G40-Deviation!$D$7</f>
        <v>-1.0747814362235805E-2</v>
      </c>
      <c r="G40" s="10">
        <f>'Rebalancing Simulation'!H40-Deviation!$D$8</f>
        <v>-1.6628593994896884E-2</v>
      </c>
      <c r="H40" s="10">
        <f>'Rebalancing Simulation'!I40-Deviation!$D$9</f>
        <v>-1.4950700718610599E-3</v>
      </c>
      <c r="I40">
        <f t="shared" si="0"/>
        <v>0</v>
      </c>
    </row>
    <row r="41" spans="1:9" x14ac:dyDescent="0.2">
      <c r="A41" s="1">
        <f>'Rebalancing Simulation'!A41</f>
        <v>43220</v>
      </c>
      <c r="B41" s="10">
        <f>'Rebalancing Simulation'!C41 -$D$3</f>
        <v>3.9686386962718923E-2</v>
      </c>
      <c r="C41" s="10">
        <f>'Rebalancing Simulation'!D41-Deviation!$D$4</f>
        <v>1.6272619770410945E-2</v>
      </c>
      <c r="D41" s="10">
        <f>'Rebalancing Simulation'!E41-Deviation!$D$5</f>
        <v>1.0239234702086465E-2</v>
      </c>
      <c r="E41" s="10">
        <f>'Rebalancing Simulation'!F41-Deviation!$D$6</f>
        <v>-3.8131138953553467E-2</v>
      </c>
      <c r="F41" s="10">
        <f>'Rebalancing Simulation'!G41-Deviation!$D$7</f>
        <v>-1.2324799106281314E-2</v>
      </c>
      <c r="G41" s="10">
        <f>'Rebalancing Simulation'!H41-Deviation!$D$8</f>
        <v>-1.6070876893880343E-2</v>
      </c>
      <c r="H41" s="10">
        <f>'Rebalancing Simulation'!I41-Deviation!$D$9</f>
        <v>3.2857351849877037E-4</v>
      </c>
      <c r="I41">
        <f t="shared" si="0"/>
        <v>0</v>
      </c>
    </row>
    <row r="42" spans="1:9" x14ac:dyDescent="0.2">
      <c r="A42" s="1">
        <f>'Rebalancing Simulation'!A42</f>
        <v>43251</v>
      </c>
      <c r="B42" s="10">
        <f>'Rebalancing Simulation'!C42 -$D$3</f>
        <v>4.5515793959464645E-2</v>
      </c>
      <c r="C42" s="10">
        <f>'Rebalancing Simulation'!D42-Deviation!$D$4</f>
        <v>1.1991771055496481E-2</v>
      </c>
      <c r="D42" s="10">
        <f>'Rebalancing Simulation'!E42-Deviation!$D$5</f>
        <v>8.24944383875581E-3</v>
      </c>
      <c r="E42" s="10">
        <f>'Rebalancing Simulation'!F42-Deviation!$D$6</f>
        <v>-3.7660224934112252E-2</v>
      </c>
      <c r="F42" s="10">
        <f>'Rebalancing Simulation'!G42-Deviation!$D$7</f>
        <v>-1.2464747688920239E-2</v>
      </c>
      <c r="G42" s="10">
        <f>'Rebalancing Simulation'!H42-Deviation!$D$8</f>
        <v>-1.3590050491811306E-2</v>
      </c>
      <c r="H42" s="10">
        <f>'Rebalancing Simulation'!I42-Deviation!$D$9</f>
        <v>-2.0419857388730006E-3</v>
      </c>
      <c r="I42">
        <f t="shared" si="0"/>
        <v>0</v>
      </c>
    </row>
    <row r="43" spans="1:9" x14ac:dyDescent="0.2">
      <c r="A43" s="1">
        <f>'Rebalancing Simulation'!A43</f>
        <v>43281</v>
      </c>
      <c r="B43" s="10">
        <f>'Rebalancing Simulation'!C43 -$D$3</f>
        <v>4.6901683720938392E-2</v>
      </c>
      <c r="C43" s="10">
        <f>'Rebalancing Simulation'!D43-Deviation!$D$4</f>
        <v>9.1083575498533687E-3</v>
      </c>
      <c r="D43" s="10">
        <f>'Rebalancing Simulation'!E43-Deviation!$D$5</f>
        <v>5.5006370256443643E-3</v>
      </c>
      <c r="E43" s="10">
        <f>'Rebalancing Simulation'!F43-Deviation!$D$6</f>
        <v>-3.7642680352593938E-2</v>
      </c>
      <c r="F43" s="10">
        <f>'Rebalancing Simulation'!G43-Deviation!$D$7</f>
        <v>-1.3065075271759513E-2</v>
      </c>
      <c r="G43" s="10">
        <f>'Rebalancing Simulation'!H43-Deviation!$D$8</f>
        <v>-1.0134015412388411E-2</v>
      </c>
      <c r="H43" s="10">
        <f>'Rebalancing Simulation'!I43-Deviation!$D$9</f>
        <v>-6.6890725969434572E-4</v>
      </c>
      <c r="I43">
        <f t="shared" si="0"/>
        <v>0</v>
      </c>
    </row>
    <row r="44" spans="1:9" x14ac:dyDescent="0.2">
      <c r="A44" s="1">
        <f>'Rebalancing Simulation'!A44</f>
        <v>43312</v>
      </c>
      <c r="B44" s="10">
        <f>'Rebalancing Simulation'!C44 -$D$3</f>
        <v>5.1984900575088755E-2</v>
      </c>
      <c r="C44" s="10">
        <f>'Rebalancing Simulation'!D44-Deviation!$D$4</f>
        <v>1.0107444081001393E-2</v>
      </c>
      <c r="D44" s="10">
        <f>'Rebalancing Simulation'!E44-Deviation!$D$5</f>
        <v>6.2179610826698928E-3</v>
      </c>
      <c r="E44" s="10">
        <f>'Rebalancing Simulation'!F44-Deviation!$D$6</f>
        <v>-4.2000453768631929E-2</v>
      </c>
      <c r="F44" s="10">
        <f>'Rebalancing Simulation'!G44-Deviation!$D$7</f>
        <v>-1.3753050863006114E-2</v>
      </c>
      <c r="G44" s="10">
        <f>'Rebalancing Simulation'!H44-Deviation!$D$8</f>
        <v>-1.1548142887635365E-2</v>
      </c>
      <c r="H44" s="10">
        <f>'Rebalancing Simulation'!I44-Deviation!$D$9</f>
        <v>-1.0086582194867993E-3</v>
      </c>
      <c r="I44">
        <f t="shared" si="0"/>
        <v>1</v>
      </c>
    </row>
    <row r="45" spans="1:9" x14ac:dyDescent="0.2">
      <c r="A45" s="1">
        <f>'Rebalancing Simulation'!A45</f>
        <v>43343</v>
      </c>
      <c r="B45" s="10">
        <f>'Rebalancing Simulation'!C45 -$D$3</f>
        <v>6.0700473998389626E-2</v>
      </c>
      <c r="C45" s="10">
        <f>'Rebalancing Simulation'!D45-Deviation!$D$4</f>
        <v>5.4737594424988378E-3</v>
      </c>
      <c r="D45" s="10">
        <f>'Rebalancing Simulation'!E45-Deviation!$D$5</f>
        <v>3.7271148304327331E-3</v>
      </c>
      <c r="E45" s="10">
        <f>'Rebalancing Simulation'!F45-Deviation!$D$6</f>
        <v>-4.1447311825950406E-2</v>
      </c>
      <c r="F45" s="10">
        <f>'Rebalancing Simulation'!G45-Deviation!$D$7</f>
        <v>-1.4335770777261836E-2</v>
      </c>
      <c r="G45" s="10">
        <f>'Rebalancing Simulation'!H45-Deviation!$D$8</f>
        <v>-9.8912969519254212E-3</v>
      </c>
      <c r="H45" s="10">
        <f>'Rebalancing Simulation'!I45-Deviation!$D$9</f>
        <v>-4.2269687161835684E-3</v>
      </c>
      <c r="I45">
        <f t="shared" si="0"/>
        <v>1</v>
      </c>
    </row>
    <row r="46" spans="1:9" x14ac:dyDescent="0.2">
      <c r="A46" s="1">
        <f>'Rebalancing Simulation'!A46</f>
        <v>43373</v>
      </c>
      <c r="B46" s="10">
        <f>'Rebalancing Simulation'!C46 -$D$3</f>
        <v>6.368297914008747E-2</v>
      </c>
      <c r="C46" s="10">
        <f>'Rebalancing Simulation'!D46-Deviation!$D$4</f>
        <v>7.3165880824811735E-3</v>
      </c>
      <c r="D46" s="10">
        <f>'Rebalancing Simulation'!E46-Deviation!$D$5</f>
        <v>3.538294785488047E-3</v>
      </c>
      <c r="E46" s="10">
        <f>'Rebalancing Simulation'!F46-Deviation!$D$6</f>
        <v>-4.3051116461563732E-2</v>
      </c>
      <c r="F46" s="10">
        <f>'Rebalancing Simulation'!G46-Deviation!$D$7</f>
        <v>-1.426234911971358E-2</v>
      </c>
      <c r="G46" s="10">
        <f>'Rebalancing Simulation'!H46-Deviation!$D$8</f>
        <v>-1.209244849763326E-2</v>
      </c>
      <c r="H46" s="10">
        <f>'Rebalancing Simulation'!I46-Deviation!$D$9</f>
        <v>-5.1319479291461606E-3</v>
      </c>
      <c r="I46">
        <f t="shared" si="0"/>
        <v>1</v>
      </c>
    </row>
    <row r="47" spans="1:9" x14ac:dyDescent="0.2">
      <c r="A47" s="1">
        <f>'Rebalancing Simulation'!A47</f>
        <v>43404</v>
      </c>
      <c r="B47" s="10">
        <f>'Rebalancing Simulation'!C47 -$D$3</f>
        <v>5.6720956634960906E-2</v>
      </c>
      <c r="C47" s="10">
        <f>'Rebalancing Simulation'!D47-Deviation!$D$4</f>
        <v>2.2808195120934682E-3</v>
      </c>
      <c r="D47" s="10">
        <f>'Rebalancing Simulation'!E47-Deviation!$D$5</f>
        <v>1.469106166868489E-3</v>
      </c>
      <c r="E47" s="10">
        <f>'Rebalancing Simulation'!F47-Deviation!$D$6</f>
        <v>-3.510588546093027E-2</v>
      </c>
      <c r="F47" s="10">
        <f>'Rebalancing Simulation'!G47-Deviation!$D$7</f>
        <v>-1.1539200147996115E-2</v>
      </c>
      <c r="G47" s="10">
        <f>'Rebalancing Simulation'!H47-Deviation!$D$8</f>
        <v>-1.0080553594010819E-2</v>
      </c>
      <c r="H47" s="10">
        <f>'Rebalancing Simulation'!I47-Deviation!$D$9</f>
        <v>-3.7452431109856882E-3</v>
      </c>
      <c r="I47">
        <f t="shared" si="0"/>
        <v>1</v>
      </c>
    </row>
    <row r="48" spans="1:9" x14ac:dyDescent="0.2">
      <c r="A48" s="1">
        <f>'Rebalancing Simulation'!A48</f>
        <v>43434</v>
      </c>
      <c r="B48" s="10">
        <f>'Rebalancing Simulation'!C48 -$D$3</f>
        <v>5.6949229759527487E-2</v>
      </c>
      <c r="C48" s="10">
        <f>'Rebalancing Simulation'!D48-Deviation!$D$4</f>
        <v>3.5838319696562815E-4</v>
      </c>
      <c r="D48" s="10">
        <f>'Rebalancing Simulation'!E48-Deviation!$D$5</f>
        <v>3.0484076625247394E-3</v>
      </c>
      <c r="E48" s="10">
        <f>'Rebalancing Simulation'!F48-Deviation!$D$6</f>
        <v>-3.5826592642642763E-2</v>
      </c>
      <c r="F48" s="10">
        <f>'Rebalancing Simulation'!G48-Deviation!$D$7</f>
        <v>-1.3389177648576459E-2</v>
      </c>
      <c r="G48" s="10">
        <f>'Rebalancing Simulation'!H48-Deviation!$D$8</f>
        <v>-7.5306671374470308E-3</v>
      </c>
      <c r="H48" s="10">
        <f>'Rebalancing Simulation'!I48-Deviation!$D$9</f>
        <v>-3.6095831903516784E-3</v>
      </c>
      <c r="I48">
        <f t="shared" si="0"/>
        <v>1</v>
      </c>
    </row>
    <row r="49" spans="1:9" x14ac:dyDescent="0.2">
      <c r="A49" s="1">
        <f>'Rebalancing Simulation'!A49</f>
        <v>43465</v>
      </c>
      <c r="B49" s="10">
        <f>'Rebalancing Simulation'!C49 -$D$3</f>
        <v>4.1039634296665017E-2</v>
      </c>
      <c r="C49" s="10">
        <f>'Rebalancing Simulation'!D49-Deviation!$D$4</f>
        <v>-8.8597722137195856E-4</v>
      </c>
      <c r="D49" s="10">
        <f>'Rebalancing Simulation'!E49-Deviation!$D$5</f>
        <v>3.6331923843603495E-3</v>
      </c>
      <c r="E49" s="10">
        <f>'Rebalancing Simulation'!F49-Deviation!$D$6</f>
        <v>-2.3245650463105422E-2</v>
      </c>
      <c r="F49" s="10">
        <f>'Rebalancing Simulation'!G49-Deviation!$D$7</f>
        <v>-7.5703678685763165E-3</v>
      </c>
      <c r="G49" s="10">
        <f>'Rebalancing Simulation'!H49-Deviation!$D$8</f>
        <v>-1.0826487283135539E-2</v>
      </c>
      <c r="H49" s="10">
        <f>'Rebalancing Simulation'!I49-Deviation!$D$9</f>
        <v>-2.1443438448361107E-3</v>
      </c>
      <c r="I49">
        <f t="shared" si="0"/>
        <v>0</v>
      </c>
    </row>
    <row r="50" spans="1:9" x14ac:dyDescent="0.2">
      <c r="A50" s="1">
        <f>'Rebalancing Simulation'!A50</f>
        <v>43496</v>
      </c>
      <c r="B50" s="10">
        <f>'Rebalancing Simulation'!C50 -$D$3</f>
        <v>4.556439009772173E-2</v>
      </c>
      <c r="C50" s="10">
        <f>'Rebalancing Simulation'!D50-Deviation!$D$4</f>
        <v>-8.2242860983317012E-4</v>
      </c>
      <c r="D50" s="10">
        <f>'Rebalancing Simulation'!E50-Deviation!$D$5</f>
        <v>5.5221484984266725E-3</v>
      </c>
      <c r="E50" s="10">
        <f>'Rebalancing Simulation'!F50-Deviation!$D$6</f>
        <v>-3.3079989287392753E-2</v>
      </c>
      <c r="F50" s="10">
        <f>'Rebalancing Simulation'!G50-Deviation!$D$7</f>
        <v>-1.0360363071815329E-2</v>
      </c>
      <c r="G50" s="10">
        <f>'Rebalancing Simulation'!H50-Deviation!$D$8</f>
        <v>-6.4187188244274329E-3</v>
      </c>
      <c r="H50" s="10">
        <f>'Rebalancing Simulation'!I50-Deviation!$D$9</f>
        <v>-4.0503880267971082E-4</v>
      </c>
      <c r="I50">
        <f t="shared" si="0"/>
        <v>0</v>
      </c>
    </row>
    <row r="51" spans="1:9" x14ac:dyDescent="0.2">
      <c r="A51" s="1">
        <f>'Rebalancing Simulation'!A51</f>
        <v>43524</v>
      </c>
      <c r="B51" s="10">
        <f>'Rebalancing Simulation'!C51 -$D$3</f>
        <v>5.1045247355665291E-2</v>
      </c>
      <c r="C51" s="10">
        <f>'Rebalancing Simulation'!D51-Deviation!$D$4</f>
        <v>4.9504967058378035E-4</v>
      </c>
      <c r="D51" s="10">
        <f>'Rebalancing Simulation'!E51-Deviation!$D$5</f>
        <v>3.789310023668585E-3</v>
      </c>
      <c r="E51" s="10">
        <f>'Rebalancing Simulation'!F51-Deviation!$D$6</f>
        <v>-3.6655585425349219E-2</v>
      </c>
      <c r="F51" s="10">
        <f>'Rebalancing Simulation'!G51-Deviation!$D$7</f>
        <v>-1.2003237433843614E-2</v>
      </c>
      <c r="G51" s="10">
        <f>'Rebalancing Simulation'!H51-Deviation!$D$8</f>
        <v>-7.2917536464356253E-3</v>
      </c>
      <c r="H51" s="10">
        <f>'Rebalancing Simulation'!I51-Deviation!$D$9</f>
        <v>6.2096945571071815E-4</v>
      </c>
      <c r="I51">
        <f t="shared" si="0"/>
        <v>1</v>
      </c>
    </row>
    <row r="52" spans="1:9" x14ac:dyDescent="0.2">
      <c r="A52" s="1">
        <f>'Rebalancing Simulation'!A52</f>
        <v>43555</v>
      </c>
      <c r="B52" s="10">
        <f>'Rebalancing Simulation'!C52 -$D$3</f>
        <v>4.9878459046144963E-2</v>
      </c>
      <c r="C52" s="10">
        <f>'Rebalancing Simulation'!D52-Deviation!$D$4</f>
        <v>-1.3225488021552378E-3</v>
      </c>
      <c r="D52" s="10">
        <f>'Rebalancing Simulation'!E52-Deviation!$D$5</f>
        <v>3.2587483906194037E-3</v>
      </c>
      <c r="E52" s="10">
        <f>'Rebalancing Simulation'!F52-Deviation!$D$6</f>
        <v>-3.5750204800320179E-2</v>
      </c>
      <c r="F52" s="10">
        <f>'Rebalancing Simulation'!G52-Deviation!$D$7</f>
        <v>-1.1307934553195495E-2</v>
      </c>
      <c r="G52" s="10">
        <f>'Rebalancing Simulation'!H52-Deviation!$D$8</f>
        <v>-5.4019095404943401E-3</v>
      </c>
      <c r="H52" s="10">
        <f>'Rebalancing Simulation'!I52-Deviation!$D$9</f>
        <v>6.4539025940089922E-4</v>
      </c>
      <c r="I52">
        <f t="shared" si="0"/>
        <v>0</v>
      </c>
    </row>
    <row r="53" spans="1:9" x14ac:dyDescent="0.2">
      <c r="A53" s="1">
        <f>'Rebalancing Simulation'!A53</f>
        <v>43585</v>
      </c>
      <c r="B53" s="10">
        <f>'Rebalancing Simulation'!C53 -$D$3</f>
        <v>5.67599396850067E-2</v>
      </c>
      <c r="C53" s="10">
        <f>'Rebalancing Simulation'!D53-Deviation!$D$4</f>
        <v>-9.0442069319768281E-5</v>
      </c>
      <c r="D53" s="10">
        <f>'Rebalancing Simulation'!E53-Deviation!$D$5</f>
        <v>3.3998044915518749E-3</v>
      </c>
      <c r="E53" s="10">
        <f>'Rebalancing Simulation'!F53-Deviation!$D$6</f>
        <v>-3.9928716783090484E-2</v>
      </c>
      <c r="F53" s="10">
        <f>'Rebalancing Simulation'!G53-Deviation!$D$7</f>
        <v>-1.2731012468153571E-2</v>
      </c>
      <c r="G53" s="10">
        <f>'Rebalancing Simulation'!H53-Deviation!$D$8</f>
        <v>-7.4772131035746869E-3</v>
      </c>
      <c r="H53" s="10">
        <f>'Rebalancing Simulation'!I53-Deviation!$D$9</f>
        <v>6.7640247579783819E-5</v>
      </c>
      <c r="I53">
        <f t="shared" si="0"/>
        <v>1</v>
      </c>
    </row>
    <row r="54" spans="1:9" x14ac:dyDescent="0.2">
      <c r="A54" s="1">
        <f>'Rebalancing Simulation'!A54</f>
        <v>43616</v>
      </c>
      <c r="B54" s="10">
        <f>'Rebalancing Simulation'!C54 -$D$3</f>
        <v>4.4151616119875725E-2</v>
      </c>
      <c r="C54" s="10">
        <f>'Rebalancing Simulation'!D54-Deviation!$D$4</f>
        <v>-3.2992663229820529E-3</v>
      </c>
      <c r="D54" s="10">
        <f>'Rebalancing Simulation'!E54-Deviation!$D$5</f>
        <v>9.9158167601018365E-4</v>
      </c>
      <c r="E54" s="10">
        <f>'Rebalancing Simulation'!F54-Deviation!$D$6</f>
        <v>-3.0040933751671633E-2</v>
      </c>
      <c r="F54" s="10">
        <f>'Rebalancing Simulation'!G54-Deviation!$D$7</f>
        <v>-8.6187389474251391E-3</v>
      </c>
      <c r="G54" s="10">
        <f>'Rebalancing Simulation'!H54-Deviation!$D$8</f>
        <v>-4.5336422749148592E-3</v>
      </c>
      <c r="H54" s="10">
        <f>'Rebalancing Simulation'!I54-Deviation!$D$9</f>
        <v>1.3493835011077343E-3</v>
      </c>
      <c r="I54">
        <f t="shared" si="0"/>
        <v>0</v>
      </c>
    </row>
    <row r="55" spans="1:9" x14ac:dyDescent="0.2">
      <c r="A55" s="1">
        <f>'Rebalancing Simulation'!A55</f>
        <v>43646</v>
      </c>
      <c r="B55" s="10">
        <f>'Rebalancing Simulation'!C55 -$D$3</f>
        <v>5.1426336618911606E-2</v>
      </c>
      <c r="C55" s="10">
        <f>'Rebalancing Simulation'!D55-Deviation!$D$4</f>
        <v>-1.656317017548592E-3</v>
      </c>
      <c r="D55" s="10">
        <f>'Rebalancing Simulation'!E55-Deviation!$D$5</f>
        <v>1.6990011710782196E-3</v>
      </c>
      <c r="E55" s="10">
        <f>'Rebalancing Simulation'!F55-Deviation!$D$6</f>
        <v>-3.5819659221583505E-2</v>
      </c>
      <c r="F55" s="10">
        <f>'Rebalancing Simulation'!G55-Deviation!$D$7</f>
        <v>-9.9142412744941538E-3</v>
      </c>
      <c r="G55" s="10">
        <f>'Rebalancing Simulation'!H55-Deviation!$D$8</f>
        <v>-7.4442987985035153E-3</v>
      </c>
      <c r="H55" s="10">
        <f>'Rebalancing Simulation'!I55-Deviation!$D$9</f>
        <v>1.7091785221398509E-3</v>
      </c>
      <c r="I55">
        <f t="shared" si="0"/>
        <v>1</v>
      </c>
    </row>
    <row r="56" spans="1:9" x14ac:dyDescent="0.2">
      <c r="A56" s="1">
        <f>'Rebalancing Simulation'!A56</f>
        <v>43677</v>
      </c>
      <c r="B56" s="10">
        <f>'Rebalancing Simulation'!C56 -$D$3</f>
        <v>5.6429904747269943E-2</v>
      </c>
      <c r="C56" s="10">
        <f>'Rebalancing Simulation'!D56-Deviation!$D$4</f>
        <v>-4.6614984811948201E-3</v>
      </c>
      <c r="D56" s="10">
        <f>'Rebalancing Simulation'!E56-Deviation!$D$5</f>
        <v>2.8552652064794265E-4</v>
      </c>
      <c r="E56" s="10">
        <f>'Rebalancing Simulation'!F56-Deviation!$D$6</f>
        <v>-3.5891461889304116E-2</v>
      </c>
      <c r="F56" s="10">
        <f>'Rebalancing Simulation'!G56-Deviation!$D$7</f>
        <v>-9.7664483756668835E-3</v>
      </c>
      <c r="G56" s="10">
        <f>'Rebalancing Simulation'!H56-Deviation!$D$8</f>
        <v>-5.9348090563520889E-3</v>
      </c>
      <c r="H56" s="10">
        <f>'Rebalancing Simulation'!I56-Deviation!$D$9</f>
        <v>-4.6121346540006769E-4</v>
      </c>
      <c r="I56">
        <f t="shared" si="0"/>
        <v>1</v>
      </c>
    </row>
    <row r="57" spans="1:9" x14ac:dyDescent="0.2">
      <c r="A57" s="1">
        <f>'Rebalancing Simulation'!A57</f>
        <v>43708</v>
      </c>
      <c r="B57" s="10">
        <f>'Rebalancing Simulation'!C57 -$D$3</f>
        <v>4.9316964597388824E-2</v>
      </c>
      <c r="C57" s="10">
        <f>'Rebalancing Simulation'!D57-Deviation!$D$4</f>
        <v>-7.9253573421457502E-3</v>
      </c>
      <c r="D57" s="10">
        <f>'Rebalancing Simulation'!E57-Deviation!$D$5</f>
        <v>-1.7794829074883056E-3</v>
      </c>
      <c r="E57" s="10">
        <f>'Rebalancing Simulation'!F57-Deviation!$D$6</f>
        <v>-2.9951835779574887E-2</v>
      </c>
      <c r="F57" s="10">
        <f>'Rebalancing Simulation'!G57-Deviation!$D$7</f>
        <v>-6.5769287536039805E-3</v>
      </c>
      <c r="G57" s="10">
        <f>'Rebalancing Simulation'!H57-Deviation!$D$8</f>
        <v>-2.748629045511472E-3</v>
      </c>
      <c r="H57" s="10">
        <f>'Rebalancing Simulation'!I57-Deviation!$D$9</f>
        <v>-3.3473076906428978E-4</v>
      </c>
      <c r="I57">
        <f t="shared" si="0"/>
        <v>0</v>
      </c>
    </row>
    <row r="58" spans="1:9" x14ac:dyDescent="0.2">
      <c r="A58" s="1">
        <f>'Rebalancing Simulation'!A58</f>
        <v>43738</v>
      </c>
      <c r="B58" s="10">
        <f>'Rebalancing Simulation'!C58 -$D$3</f>
        <v>5.1372415038132446E-2</v>
      </c>
      <c r="C58" s="10">
        <f>'Rebalancing Simulation'!D58-Deviation!$D$4</f>
        <v>-5.3774485664721261E-3</v>
      </c>
      <c r="D58" s="10">
        <f>'Rebalancing Simulation'!E58-Deviation!$D$5</f>
        <v>-1.6135004730758393E-3</v>
      </c>
      <c r="E58" s="10">
        <f>'Rebalancing Simulation'!F58-Deviation!$D$6</f>
        <v>-3.4213146049821008E-2</v>
      </c>
      <c r="F58" s="10">
        <f>'Rebalancing Simulation'!G58-Deviation!$D$7</f>
        <v>-8.5063737453891647E-3</v>
      </c>
      <c r="G58" s="10">
        <f>'Rebalancing Simulation'!H58-Deviation!$D$8</f>
        <v>-2.1910688974719483E-3</v>
      </c>
      <c r="H58" s="10">
        <f>'Rebalancing Simulation'!I58-Deviation!$D$9</f>
        <v>5.2912269409763346E-4</v>
      </c>
      <c r="I58">
        <f t="shared" si="0"/>
        <v>1</v>
      </c>
    </row>
    <row r="59" spans="1:9" x14ac:dyDescent="0.2">
      <c r="A59" s="1">
        <f>'Rebalancing Simulation'!A59</f>
        <v>43769</v>
      </c>
      <c r="B59" s="10">
        <f>'Rebalancing Simulation'!C59 -$D$3</f>
        <v>5.278574917699147E-2</v>
      </c>
      <c r="C59" s="10">
        <f>'Rebalancing Simulation'!D59-Deviation!$D$4</f>
        <v>-3.1384033492061758E-3</v>
      </c>
      <c r="D59" s="10">
        <f>'Rebalancing Simulation'!E59-Deviation!$D$5</f>
        <v>-4.8136648436206131E-4</v>
      </c>
      <c r="E59" s="10">
        <f>'Rebalancing Simulation'!F59-Deviation!$D$6</f>
        <v>-3.68392425599951E-2</v>
      </c>
      <c r="F59" s="10">
        <f>'Rebalancing Simulation'!G59-Deviation!$D$7</f>
        <v>-9.7225826216697508E-3</v>
      </c>
      <c r="G59" s="10">
        <f>'Rebalancing Simulation'!H59-Deviation!$D$8</f>
        <v>-2.838527108349434E-3</v>
      </c>
      <c r="H59" s="10">
        <f>'Rebalancing Simulation'!I59-Deviation!$D$9</f>
        <v>2.3437294659085783E-4</v>
      </c>
      <c r="I59">
        <f t="shared" si="0"/>
        <v>1</v>
      </c>
    </row>
    <row r="60" spans="1:9" x14ac:dyDescent="0.2">
      <c r="A60" s="1">
        <f>'Rebalancing Simulation'!A60</f>
        <v>43799</v>
      </c>
      <c r="B60" s="10">
        <f>'Rebalancing Simulation'!C60 -$D$3</f>
        <v>6.1329073706202331E-2</v>
      </c>
      <c r="C60" s="10">
        <f>'Rebalancing Simulation'!D60-Deviation!$D$4</f>
        <v>-3.1833970629592812E-3</v>
      </c>
      <c r="D60" s="10">
        <f>'Rebalancing Simulation'!E60-Deviation!$D$5</f>
        <v>-1.0969380788233701E-3</v>
      </c>
      <c r="E60" s="10">
        <f>'Rebalancing Simulation'!F60-Deviation!$D$6</f>
        <v>-3.9826790038539256E-2</v>
      </c>
      <c r="F60" s="10">
        <f>'Rebalancing Simulation'!G60-Deviation!$D$7</f>
        <v>-1.0338910405614285E-2</v>
      </c>
      <c r="G60" s="10">
        <f>'Rebalancing Simulation'!H60-Deviation!$D$8</f>
        <v>-5.2090446006702873E-3</v>
      </c>
      <c r="H60" s="10">
        <f>'Rebalancing Simulation'!I60-Deviation!$D$9</f>
        <v>-1.6739935195957817E-3</v>
      </c>
      <c r="I60">
        <f t="shared" si="0"/>
        <v>1</v>
      </c>
    </row>
    <row r="61" spans="1:9" x14ac:dyDescent="0.2">
      <c r="A61" s="1">
        <f>'Rebalancing Simulation'!A61</f>
        <v>43830</v>
      </c>
      <c r="B61" s="10">
        <f>'Rebalancing Simulation'!C61 -$D$3</f>
        <v>6.3811798433360878E-2</v>
      </c>
      <c r="C61" s="10">
        <f>'Rebalancing Simulation'!D61-Deviation!$D$4</f>
        <v>-2.0502517414333898E-3</v>
      </c>
      <c r="D61" s="10">
        <f>'Rebalancing Simulation'!E61-Deviation!$D$5</f>
        <v>1.231946537011086E-3</v>
      </c>
      <c r="E61" s="10">
        <f>'Rebalancing Simulation'!F61-Deviation!$D$6</f>
        <v>-4.4759413687013777E-2</v>
      </c>
      <c r="F61" s="10">
        <f>'Rebalancing Simulation'!G61-Deviation!$D$7</f>
        <v>-1.1798437801951403E-2</v>
      </c>
      <c r="G61" s="10">
        <f>'Rebalancing Simulation'!H61-Deviation!$D$8</f>
        <v>-6.5378678861049699E-3</v>
      </c>
      <c r="H61" s="10">
        <f>'Rebalancing Simulation'!I61-Deviation!$D$9</f>
        <v>1.0222614613158987E-4</v>
      </c>
      <c r="I61">
        <f t="shared" si="0"/>
        <v>1</v>
      </c>
    </row>
    <row r="62" spans="1:9" x14ac:dyDescent="0.2">
      <c r="A62" s="1">
        <f>'Rebalancing Simulation'!A62</f>
        <v>43861</v>
      </c>
      <c r="B62" s="10">
        <f>'Rebalancing Simulation'!C62 -$D$3</f>
        <v>6.2764441697506612E-2</v>
      </c>
      <c r="C62" s="10">
        <f>'Rebalancing Simulation'!D62-Deviation!$D$4</f>
        <v>-6.5690964926085615E-3</v>
      </c>
      <c r="D62" s="10">
        <f>'Rebalancing Simulation'!E62-Deviation!$D$5</f>
        <v>-2.0361233487543595E-3</v>
      </c>
      <c r="E62" s="10">
        <f>'Rebalancing Simulation'!F62-Deviation!$D$6</f>
        <v>-3.9742984926234598E-2</v>
      </c>
      <c r="F62" s="10">
        <f>'Rebalancing Simulation'!G62-Deviation!$D$7</f>
        <v>-9.8708459277575544E-3</v>
      </c>
      <c r="G62" s="10">
        <f>'Rebalancing Simulation'!H62-Deviation!$D$8</f>
        <v>-5.631070883058642E-3</v>
      </c>
      <c r="H62" s="10">
        <f>'Rebalancing Simulation'!I62-Deviation!$D$9</f>
        <v>1.0856798809070062E-3</v>
      </c>
      <c r="I62">
        <f t="shared" si="0"/>
        <v>1</v>
      </c>
    </row>
    <row r="63" spans="1:9" x14ac:dyDescent="0.2">
      <c r="A63" s="1">
        <f>'Rebalancing Simulation'!A63</f>
        <v>43890</v>
      </c>
      <c r="B63" s="10">
        <f>'Rebalancing Simulation'!C63 -$D$3</f>
        <v>5.2254657287646111E-2</v>
      </c>
      <c r="C63" s="10">
        <f>'Rebalancing Simulation'!D63-Deviation!$D$4</f>
        <v>-1.0507240765359471E-2</v>
      </c>
      <c r="D63" s="10">
        <f>'Rebalancing Simulation'!E63-Deviation!$D$5</f>
        <v>-1.3362403474449225E-3</v>
      </c>
      <c r="E63" s="10">
        <f>'Rebalancing Simulation'!F63-Deviation!$D$6</f>
        <v>-2.6022718723686111E-2</v>
      </c>
      <c r="F63" s="10">
        <f>'Rebalancing Simulation'!G63-Deviation!$D$7</f>
        <v>-3.9173053734292973E-3</v>
      </c>
      <c r="G63" s="10">
        <f>'Rebalancing Simulation'!H63-Deviation!$D$8</f>
        <v>-7.4781718555619464E-3</v>
      </c>
      <c r="H63" s="10">
        <f>'Rebalancing Simulation'!I63-Deviation!$D$9</f>
        <v>-2.9929802221643348E-3</v>
      </c>
      <c r="I63">
        <f t="shared" si="0"/>
        <v>1</v>
      </c>
    </row>
    <row r="64" spans="1:9" x14ac:dyDescent="0.2">
      <c r="A64" s="1">
        <f>'Rebalancing Simulation'!A64</f>
        <v>43921</v>
      </c>
      <c r="B64" s="10">
        <f>'Rebalancing Simulation'!C64 -$D$3</f>
        <v>4.6777477691828162E-2</v>
      </c>
      <c r="C64" s="10">
        <f>'Rebalancing Simulation'!D64-Deviation!$D$4</f>
        <v>-1.522099178572095E-2</v>
      </c>
      <c r="D64" s="10">
        <f>'Rebalancing Simulation'!E64-Deviation!$D$5</f>
        <v>-3.8911540984253035E-3</v>
      </c>
      <c r="E64" s="10">
        <f>'Rebalancing Simulation'!F64-Deviation!$D$6</f>
        <v>3.022202180684691E-3</v>
      </c>
      <c r="F64" s="10">
        <f>'Rebalancing Simulation'!G64-Deviation!$D$7</f>
        <v>9.882952414953794E-4</v>
      </c>
      <c r="G64" s="10">
        <f>'Rebalancing Simulation'!H64-Deviation!$D$8</f>
        <v>-1.6104706048250858E-2</v>
      </c>
      <c r="H64" s="10">
        <f>'Rebalancing Simulation'!I64-Deviation!$D$9</f>
        <v>-1.5571123181611107E-2</v>
      </c>
      <c r="I64">
        <f t="shared" si="0"/>
        <v>0</v>
      </c>
    </row>
    <row r="65" spans="1:9" x14ac:dyDescent="0.2">
      <c r="A65" s="1">
        <f>'Rebalancing Simulation'!A65</f>
        <v>43951</v>
      </c>
      <c r="B65" s="10">
        <f>'Rebalancing Simulation'!C65 -$D$3</f>
        <v>6.3610617180386575E-2</v>
      </c>
      <c r="C65" s="10">
        <f>'Rebalancing Simulation'!D65-Deviation!$D$4</f>
        <v>-1.7320899526486161E-2</v>
      </c>
      <c r="D65" s="10">
        <f>'Rebalancing Simulation'!E65-Deviation!$D$5</f>
        <v>-3.9451273404509171E-3</v>
      </c>
      <c r="E65" s="10">
        <f>'Rebalancing Simulation'!F65-Deviation!$D$6</f>
        <v>-1.0620269658394826E-2</v>
      </c>
      <c r="F65" s="10">
        <f>'Rebalancing Simulation'!G65-Deviation!$D$7</f>
        <v>-1.4907665811619147E-3</v>
      </c>
      <c r="G65" s="10">
        <f>'Rebalancing Simulation'!H65-Deviation!$D$8</f>
        <v>-1.4950834935399199E-2</v>
      </c>
      <c r="H65" s="10">
        <f>'Rebalancing Simulation'!I65-Deviation!$D$9</f>
        <v>-1.528271913849355E-2</v>
      </c>
      <c r="I65">
        <f t="shared" si="0"/>
        <v>1</v>
      </c>
    </row>
    <row r="66" spans="1:9" x14ac:dyDescent="0.2">
      <c r="A66" s="1">
        <f>'Rebalancing Simulation'!A66</f>
        <v>43982</v>
      </c>
      <c r="B66" s="10">
        <f>'Rebalancing Simulation'!C66 -$D$3</f>
        <v>6.8016038018353542E-2</v>
      </c>
      <c r="C66" s="10">
        <f>'Rebalancing Simulation'!D66-Deviation!$D$4</f>
        <v>-1.4855101848039315E-2</v>
      </c>
      <c r="D66" s="10">
        <f>'Rebalancing Simulation'!E66-Deviation!$D$5</f>
        <v>-4.1824714400901519E-3</v>
      </c>
      <c r="E66" s="10">
        <f>'Rebalancing Simulation'!F66-Deviation!$D$6</f>
        <v>-1.6627034223722192E-2</v>
      </c>
      <c r="F66" s="10">
        <f>'Rebalancing Simulation'!G66-Deviation!$D$7</f>
        <v>-2.7181595518003532E-3</v>
      </c>
      <c r="G66" s="10">
        <f>'Rebalancing Simulation'!H66-Deviation!$D$8</f>
        <v>-1.6411232519434979E-2</v>
      </c>
      <c r="H66" s="10">
        <f>'Rebalancing Simulation'!I66-Deviation!$D$9</f>
        <v>-1.3222038435266509E-2</v>
      </c>
      <c r="I66">
        <f t="shared" si="0"/>
        <v>1</v>
      </c>
    </row>
    <row r="67" spans="1:9" x14ac:dyDescent="0.2">
      <c r="A67" s="1">
        <f>'Rebalancing Simulation'!A67</f>
        <v>44012</v>
      </c>
      <c r="B67" s="10">
        <f>'Rebalancing Simulation'!C67 -$D$3</f>
        <v>6.8019343853405856E-2</v>
      </c>
      <c r="C67" s="10">
        <f>'Rebalancing Simulation'!D67-Deviation!$D$4</f>
        <v>-1.254693196936002E-2</v>
      </c>
      <c r="D67" s="10">
        <f>'Rebalancing Simulation'!E67-Deviation!$D$5</f>
        <v>-2.0060590259164679E-3</v>
      </c>
      <c r="E67" s="10">
        <f>'Rebalancing Simulation'!F67-Deviation!$D$6</f>
        <v>-1.9747494652055914E-2</v>
      </c>
      <c r="F67" s="10">
        <f>'Rebalancing Simulation'!G67-Deviation!$D$7</f>
        <v>-2.3986503759031996E-3</v>
      </c>
      <c r="G67" s="10">
        <f>'Rebalancing Simulation'!H67-Deviation!$D$8</f>
        <v>-1.5870434070210118E-2</v>
      </c>
      <c r="H67" s="10">
        <f>'Rebalancing Simulation'!I67-Deviation!$D$9</f>
        <v>-1.5449773759960289E-2</v>
      </c>
      <c r="I67">
        <f t="shared" si="0"/>
        <v>1</v>
      </c>
    </row>
    <row r="68" spans="1:9" x14ac:dyDescent="0.2">
      <c r="A68" s="1">
        <f>'Rebalancing Simulation'!A68</f>
        <v>44043</v>
      </c>
      <c r="B68" s="10">
        <f>'Rebalancing Simulation'!C68 -$D$3</f>
        <v>7.5497024220833431E-2</v>
      </c>
      <c r="C68" s="10">
        <f>'Rebalancing Simulation'!D68-Deviation!$D$4</f>
        <v>-1.4996053758758898E-2</v>
      </c>
      <c r="D68" s="10">
        <f>'Rebalancing Simulation'!E68-Deviation!$D$5</f>
        <v>6.2902495036536166E-5</v>
      </c>
      <c r="E68" s="10">
        <f>'Rebalancing Simulation'!F68-Deviation!$D$6</f>
        <v>-2.4825030427911399E-2</v>
      </c>
      <c r="F68" s="10">
        <f>'Rebalancing Simulation'!G68-Deviation!$D$7</f>
        <v>-3.0361096239736041E-3</v>
      </c>
      <c r="G68" s="10">
        <f>'Rebalancing Simulation'!H68-Deviation!$D$8</f>
        <v>-1.5984895608176605E-2</v>
      </c>
      <c r="H68" s="10">
        <f>'Rebalancing Simulation'!I68-Deviation!$D$9</f>
        <v>-1.6717837297049357E-2</v>
      </c>
      <c r="I68">
        <f t="shared" si="0"/>
        <v>1</v>
      </c>
    </row>
    <row r="69" spans="1:9" x14ac:dyDescent="0.2">
      <c r="A69" s="1">
        <f>'Rebalancing Simulation'!A69</f>
        <v>44074</v>
      </c>
      <c r="B69" s="10">
        <f>'Rebalancing Simulation'!C69 -$D$3</f>
        <v>8.9153269522618206E-2</v>
      </c>
      <c r="C69" s="10">
        <f>'Rebalancing Simulation'!D69-Deviation!$D$4</f>
        <v>-1.3031491902890963E-2</v>
      </c>
      <c r="D69" s="10">
        <f>'Rebalancing Simulation'!E69-Deviation!$D$5</f>
        <v>-1.0229767731569778E-4</v>
      </c>
      <c r="E69" s="10">
        <f>'Rebalancing Simulation'!F69-Deviation!$D$6</f>
        <v>-3.1950581481274803E-2</v>
      </c>
      <c r="F69" s="10">
        <f>'Rebalancing Simulation'!G69-Deviation!$D$7</f>
        <v>-7.7270680268721748E-3</v>
      </c>
      <c r="G69" s="10">
        <f>'Rebalancing Simulation'!H69-Deviation!$D$8</f>
        <v>-1.8256742453098371E-2</v>
      </c>
      <c r="H69" s="10">
        <f>'Rebalancing Simulation'!I69-Deviation!$D$9</f>
        <v>-1.8085087981166259E-2</v>
      </c>
      <c r="I69">
        <f t="shared" si="0"/>
        <v>1</v>
      </c>
    </row>
    <row r="70" spans="1:9" x14ac:dyDescent="0.2">
      <c r="A70" s="1">
        <f>'Rebalancing Simulation'!A70</f>
        <v>44104</v>
      </c>
      <c r="B70" s="10">
        <f>'Rebalancing Simulation'!C70 -$D$3</f>
        <v>8.3253443847683628E-2</v>
      </c>
      <c r="C70" s="10">
        <f>'Rebalancing Simulation'!D70-Deviation!$D$4</f>
        <v>-1.2733395164217703E-2</v>
      </c>
      <c r="D70" s="10">
        <f>'Rebalancing Simulation'!E70-Deviation!$D$5</f>
        <v>5.3650890959277414E-4</v>
      </c>
      <c r="E70" s="10">
        <f>'Rebalancing Simulation'!F70-Deviation!$D$6</f>
        <v>-2.7619589813989348E-2</v>
      </c>
      <c r="F70" s="10">
        <f>'Rebalancing Simulation'!G70-Deviation!$D$7</f>
        <v>-6.2168896768593634E-3</v>
      </c>
      <c r="G70" s="10">
        <f>'Rebalancing Simulation'!H70-Deviation!$D$8</f>
        <v>-1.858168995072168E-2</v>
      </c>
      <c r="H70" s="10">
        <f>'Rebalancing Simulation'!I70-Deviation!$D$9</f>
        <v>-1.86383881514883E-2</v>
      </c>
      <c r="I70">
        <f t="shared" si="0"/>
        <v>1</v>
      </c>
    </row>
    <row r="71" spans="1:9" x14ac:dyDescent="0.2">
      <c r="A71" s="1">
        <f>'Rebalancing Simulation'!A71</f>
        <v>44135</v>
      </c>
      <c r="B71" s="10">
        <f>'Rebalancing Simulation'!C71 -$D$3</f>
        <v>8.1312150365070945E-2</v>
      </c>
      <c r="C71" s="10">
        <f>'Rebalancing Simulation'!D71-Deviation!$D$4</f>
        <v>-1.4895239317773867E-2</v>
      </c>
      <c r="D71" s="10">
        <f>'Rebalancing Simulation'!E71-Deviation!$D$5</f>
        <v>2.292270372286527E-3</v>
      </c>
      <c r="E71" s="10">
        <f>'Rebalancing Simulation'!F71-Deviation!$D$6</f>
        <v>-2.6525414948785547E-2</v>
      </c>
      <c r="F71" s="10">
        <f>'Rebalancing Simulation'!G71-Deviation!$D$7</f>
        <v>-4.7981458895580004E-3</v>
      </c>
      <c r="G71" s="10">
        <f>'Rebalancing Simulation'!H71-Deviation!$D$8</f>
        <v>-1.9420046610218705E-2</v>
      </c>
      <c r="H71" s="10">
        <f>'Rebalancing Simulation'!I71-Deviation!$D$9</f>
        <v>-1.7965573971021498E-2</v>
      </c>
      <c r="I71">
        <f t="shared" si="0"/>
        <v>1</v>
      </c>
    </row>
    <row r="72" spans="1:9" x14ac:dyDescent="0.2">
      <c r="A72" s="1">
        <f>'Rebalancing Simulation'!A72</f>
        <v>44165</v>
      </c>
      <c r="B72" s="10">
        <f>'Rebalancing Simulation'!C72 -$D$3</f>
        <v>8.8728545020687666E-2</v>
      </c>
      <c r="C72" s="10">
        <f>'Rebalancing Simulation'!D72-Deviation!$D$4</f>
        <v>-8.0653619899448137E-3</v>
      </c>
      <c r="D72" s="10">
        <f>'Rebalancing Simulation'!E72-Deviation!$D$5</f>
        <v>2.4028831863710104E-3</v>
      </c>
      <c r="E72" s="10">
        <f>'Rebalancing Simulation'!F72-Deviation!$D$6</f>
        <v>-4.0053343274305403E-2</v>
      </c>
      <c r="F72" s="10">
        <f>'Rebalancing Simulation'!G72-Deviation!$D$7</f>
        <v>-9.3540665452833266E-3</v>
      </c>
      <c r="G72" s="10">
        <f>'Rebalancing Simulation'!H72-Deviation!$D$8</f>
        <v>-1.8740168349669517E-2</v>
      </c>
      <c r="H72" s="10">
        <f>'Rebalancing Simulation'!I72-Deviation!$D$9</f>
        <v>-1.4918488047855616E-2</v>
      </c>
      <c r="I72">
        <f t="shared" si="0"/>
        <v>1</v>
      </c>
    </row>
    <row r="73" spans="1:9" x14ac:dyDescent="0.2">
      <c r="A73" s="1">
        <f>'Rebalancing Simulation'!A73</f>
        <v>44196</v>
      </c>
      <c r="B73" s="10">
        <f>'Rebalancing Simulation'!C73 -$D$3</f>
        <v>9.1576985384955012E-2</v>
      </c>
      <c r="C73" s="10">
        <f>'Rebalancing Simulation'!D73-Deviation!$D$4</f>
        <v>-5.2126494941247548E-3</v>
      </c>
      <c r="D73" s="10">
        <f>'Rebalancing Simulation'!E73-Deviation!$D$5</f>
        <v>4.531170909373862E-3</v>
      </c>
      <c r="E73" s="10">
        <f>'Rebalancing Simulation'!F73-Deviation!$D$6</f>
        <v>-4.5120713177575905E-2</v>
      </c>
      <c r="F73" s="10">
        <f>'Rebalancing Simulation'!G73-Deviation!$D$7</f>
        <v>-1.1998257508257476E-2</v>
      </c>
      <c r="G73" s="10">
        <f>'Rebalancing Simulation'!H73-Deviation!$D$8</f>
        <v>-1.890955764830303E-2</v>
      </c>
      <c r="H73" s="10">
        <f>'Rebalancing Simulation'!I73-Deviation!$D$9</f>
        <v>-1.4866978466067673E-2</v>
      </c>
      <c r="I73">
        <f t="shared" si="0"/>
        <v>1</v>
      </c>
    </row>
    <row r="74" spans="1:9" x14ac:dyDescent="0.2">
      <c r="A74" s="1">
        <f>'Rebalancing Simulation'!A74</f>
        <v>44227</v>
      </c>
      <c r="B74" s="10">
        <f>'Rebalancing Simulation'!C74 -$D$3</f>
        <v>9.1010369596051965E-2</v>
      </c>
      <c r="C74" s="10">
        <f>'Rebalancing Simulation'!D74-Deviation!$D$4</f>
        <v>-5.0756212131777834E-3</v>
      </c>
      <c r="D74" s="10">
        <f>'Rebalancing Simulation'!E74-Deviation!$D$5</f>
        <v>6.7593104114825261E-3</v>
      </c>
      <c r="E74" s="10">
        <f>'Rebalancing Simulation'!F74-Deviation!$D$6</f>
        <v>-4.5458274928012965E-2</v>
      </c>
      <c r="F74" s="10">
        <f>'Rebalancing Simulation'!G74-Deviation!$D$7</f>
        <v>-1.2839002046686754E-2</v>
      </c>
      <c r="G74" s="10">
        <f>'Rebalancing Simulation'!H74-Deviation!$D$8</f>
        <v>-1.816218955031923E-2</v>
      </c>
      <c r="H74" s="10">
        <f>'Rebalancing Simulation'!I74-Deviation!$D$9</f>
        <v>-1.6234592269337794E-2</v>
      </c>
      <c r="I74">
        <f t="shared" si="0"/>
        <v>1</v>
      </c>
    </row>
    <row r="75" spans="1:9" x14ac:dyDescent="0.2">
      <c r="A75" s="1">
        <f>'Rebalancing Simulation'!A75</f>
        <v>44255</v>
      </c>
      <c r="B75" s="10">
        <f>'Rebalancing Simulation'!C75 -$D$3</f>
        <v>9.7065947403633446E-2</v>
      </c>
      <c r="C75" s="10">
        <f>'Rebalancing Simulation'!D75-Deviation!$D$4</f>
        <v>-3.6139799066185752E-3</v>
      </c>
      <c r="D75" s="10">
        <f>'Rebalancing Simulation'!E75-Deviation!$D$5</f>
        <v>6.5191903648496308E-3</v>
      </c>
      <c r="E75" s="10">
        <f>'Rebalancing Simulation'!F75-Deviation!$D$6</f>
        <v>-5.1038559222768315E-2</v>
      </c>
      <c r="F75" s="10">
        <f>'Rebalancing Simulation'!G75-Deviation!$D$7</f>
        <v>-1.6008190228025437E-2</v>
      </c>
      <c r="G75" s="10">
        <f>'Rebalancing Simulation'!H75-Deviation!$D$8</f>
        <v>-1.638143379854054E-2</v>
      </c>
      <c r="H75" s="10">
        <f>'Rebalancing Simulation'!I75-Deviation!$D$9</f>
        <v>-1.6542974612530251E-2</v>
      </c>
      <c r="I75">
        <f t="shared" si="0"/>
        <v>1</v>
      </c>
    </row>
    <row r="76" spans="1:9" x14ac:dyDescent="0.2">
      <c r="A76" s="1">
        <f>'Rebalancing Simulation'!A76</f>
        <v>44286</v>
      </c>
      <c r="B76" s="10">
        <f>'Rebalancing Simulation'!C76 -$D$3</f>
        <v>0.10512923209824049</v>
      </c>
      <c r="C76" s="10">
        <f>'Rebalancing Simulation'!D76-Deviation!$D$4</f>
        <v>-3.5407089772630795E-3</v>
      </c>
      <c r="D76" s="10">
        <f>'Rebalancing Simulation'!E76-Deviation!$D$5</f>
        <v>4.7608973342215671E-3</v>
      </c>
      <c r="E76" s="10">
        <f>'Rebalancing Simulation'!F76-Deviation!$D$6</f>
        <v>-5.8172166848961343E-2</v>
      </c>
      <c r="F76" s="10">
        <f>'Rebalancing Simulation'!G76-Deviation!$D$7</f>
        <v>-1.9396583746522644E-2</v>
      </c>
      <c r="G76" s="10">
        <f>'Rebalancing Simulation'!H76-Deviation!$D$8</f>
        <v>-1.4175719471700696E-2</v>
      </c>
      <c r="H76" s="10">
        <f>'Rebalancing Simulation'!I76-Deviation!$D$9</f>
        <v>-1.4604950388014376E-2</v>
      </c>
      <c r="I76">
        <f t="shared" si="0"/>
        <v>1</v>
      </c>
    </row>
    <row r="77" spans="1:9" x14ac:dyDescent="0.2">
      <c r="A77" s="1">
        <f>'Rebalancing Simulation'!A77</f>
        <v>44316</v>
      </c>
      <c r="B77" s="10">
        <f>'Rebalancing Simulation'!C77 -$D$3</f>
        <v>0.11078707958795736</v>
      </c>
      <c r="C77" s="10">
        <f>'Rebalancing Simulation'!D77-Deviation!$D$4</f>
        <v>-4.789510163455718E-3</v>
      </c>
      <c r="D77" s="10">
        <f>'Rebalancing Simulation'!E77-Deviation!$D$5</f>
        <v>3.3693334364059621E-3</v>
      </c>
      <c r="E77" s="10">
        <f>'Rebalancing Simulation'!F77-Deviation!$D$6</f>
        <v>-6.2040607757123722E-2</v>
      </c>
      <c r="F77" s="10">
        <f>'Rebalancing Simulation'!G77-Deviation!$D$7</f>
        <v>-2.1571938769312446E-2</v>
      </c>
      <c r="G77" s="10">
        <f>'Rebalancing Simulation'!H77-Deviation!$D$8</f>
        <v>-1.085511085961309E-2</v>
      </c>
      <c r="H77" s="10">
        <f>'Rebalancing Simulation'!I77-Deviation!$D$9</f>
        <v>-1.4899245474858228E-2</v>
      </c>
      <c r="I77">
        <f t="shared" si="0"/>
        <v>1</v>
      </c>
    </row>
    <row r="78" spans="1:9" x14ac:dyDescent="0.2">
      <c r="A78" s="1">
        <f>'Rebalancing Simulation'!A78</f>
        <v>44347</v>
      </c>
      <c r="B78" s="10">
        <f>'Rebalancing Simulation'!C78 -$D$3</f>
        <v>0.10907378507744153</v>
      </c>
      <c r="C78" s="10">
        <f>'Rebalancing Simulation'!D78-Deviation!$D$4</f>
        <v>-1.3364914071025691E-3</v>
      </c>
      <c r="D78" s="10">
        <f>'Rebalancing Simulation'!E78-Deviation!$D$5</f>
        <v>3.6696875659518458E-3</v>
      </c>
      <c r="E78" s="10">
        <f>'Rebalancing Simulation'!F78-Deviation!$D$6</f>
        <v>-6.3030261014739464E-2</v>
      </c>
      <c r="F78" s="10">
        <f>'Rebalancing Simulation'!G78-Deviation!$D$7</f>
        <v>-2.2085017005684521E-2</v>
      </c>
      <c r="G78" s="10">
        <f>'Rebalancing Simulation'!H78-Deviation!$D$8</f>
        <v>-1.1098584553346585E-2</v>
      </c>
      <c r="H78" s="10">
        <f>'Rebalancing Simulation'!I78-Deviation!$D$9</f>
        <v>-1.5193118662520266E-2</v>
      </c>
      <c r="I78">
        <f t="shared" si="0"/>
        <v>1</v>
      </c>
    </row>
    <row r="79" spans="1:9" x14ac:dyDescent="0.2">
      <c r="A79" s="1">
        <f>'Rebalancing Simulation'!A79</f>
        <v>44377</v>
      </c>
      <c r="B79" s="10">
        <f>'Rebalancing Simulation'!C79 -$D$3</f>
        <v>0.11346176762735566</v>
      </c>
      <c r="C79" s="10">
        <f>'Rebalancing Simulation'!D79-Deviation!$D$4</f>
        <v>-4.6425733584479489E-3</v>
      </c>
      <c r="D79" s="10">
        <f>'Rebalancing Simulation'!E79-Deviation!$D$5</f>
        <v>3.5587258850831305E-3</v>
      </c>
      <c r="E79" s="10">
        <f>'Rebalancing Simulation'!F79-Deviation!$D$6</f>
        <v>-6.3310263775969461E-2</v>
      </c>
      <c r="F79" s="10">
        <f>'Rebalancing Simulation'!G79-Deviation!$D$7</f>
        <v>-2.1417804092892442E-2</v>
      </c>
      <c r="G79" s="10">
        <f>'Rebalancing Simulation'!H79-Deviation!$D$8</f>
        <v>-9.7962060649137289E-3</v>
      </c>
      <c r="H79" s="10">
        <f>'Rebalancing Simulation'!I79-Deviation!$D$9</f>
        <v>-1.7853646220215333E-2</v>
      </c>
      <c r="I79">
        <f t="shared" si="0"/>
        <v>1</v>
      </c>
    </row>
    <row r="80" spans="1:9" x14ac:dyDescent="0.2">
      <c r="A80" s="1">
        <f>'Rebalancing Simulation'!A80</f>
        <v>44408</v>
      </c>
      <c r="B80" s="10">
        <f>'Rebalancing Simulation'!C80 -$D$3</f>
        <v>0.11667411441487785</v>
      </c>
      <c r="C80" s="10">
        <f>'Rebalancing Simulation'!D80-Deviation!$D$4</f>
        <v>-5.8886575898856597E-3</v>
      </c>
      <c r="D80" s="10">
        <f>'Rebalancing Simulation'!E80-Deviation!$D$5</f>
        <v>-7.0259209174150516E-4</v>
      </c>
      <c r="E80" s="10">
        <f>'Rebalancing Simulation'!F80-Deviation!$D$6</f>
        <v>-6.2843372581729895E-2</v>
      </c>
      <c r="F80" s="10">
        <f>'Rebalancing Simulation'!G80-Deviation!$D$7</f>
        <v>-2.1603217025039409E-2</v>
      </c>
      <c r="G80" s="10">
        <f>'Rebalancing Simulation'!H80-Deviation!$D$8</f>
        <v>-7.3392456217986485E-3</v>
      </c>
      <c r="H80" s="10">
        <f>'Rebalancing Simulation'!I80-Deviation!$D$9</f>
        <v>-1.8297029504682802E-2</v>
      </c>
      <c r="I80">
        <f t="shared" si="0"/>
        <v>1</v>
      </c>
    </row>
    <row r="81" spans="1:9" x14ac:dyDescent="0.2">
      <c r="A81" s="1">
        <f>'Rebalancing Simulation'!A81</f>
        <v>44439</v>
      </c>
      <c r="B81" s="10">
        <f>'Rebalancing Simulation'!C81 -$D$3</f>
        <v>0.12176299425417098</v>
      </c>
      <c r="C81" s="10">
        <f>'Rebalancing Simulation'!D81-Deviation!$D$4</f>
        <v>-6.3040775574039754E-3</v>
      </c>
      <c r="D81" s="10">
        <f>'Rebalancing Simulation'!E81-Deviation!$D$5</f>
        <v>-7.8276008336042313E-4</v>
      </c>
      <c r="E81" s="10">
        <f>'Rebalancing Simulation'!F81-Deviation!$D$6</f>
        <v>-6.580693984551042E-2</v>
      </c>
      <c r="F81" s="10">
        <f>'Rebalancing Simulation'!G81-Deviation!$D$7</f>
        <v>-2.3336776753256142E-2</v>
      </c>
      <c r="G81" s="10">
        <f>'Rebalancing Simulation'!H81-Deviation!$D$8</f>
        <v>-6.9444221589567284E-3</v>
      </c>
      <c r="H81" s="10">
        <f>'Rebalancing Simulation'!I81-Deviation!$D$9</f>
        <v>-1.8588017855683203E-2</v>
      </c>
      <c r="I81">
        <f t="shared" ref="I81:I135" si="1">IF(
   OR(
      ABS(B81)&gt;5%,
      ABS(C81)&gt;5%,
      ABS(D81)&gt;2%,
      ABS(E81)&gt;5%,
      ABS(F81)&gt;5%,
      ABS(G81)&gt;5%,
      ABS(H81)&gt;5%
   ),
1,
0
)</f>
        <v>1</v>
      </c>
    </row>
    <row r="82" spans="1:9" x14ac:dyDescent="0.2">
      <c r="A82" s="1">
        <f>'Rebalancing Simulation'!A82</f>
        <v>44469</v>
      </c>
      <c r="B82" s="10">
        <f>'Rebalancing Simulation'!C82 -$D$3</f>
        <v>0.11717732634840389</v>
      </c>
      <c r="C82" s="10">
        <f>'Rebalancing Simulation'!D82-Deviation!$D$4</f>
        <v>-5.7798733851174844E-3</v>
      </c>
      <c r="D82" s="10">
        <f>'Rebalancing Simulation'!E82-Deviation!$D$5</f>
        <v>-9.1443337828349402E-4</v>
      </c>
      <c r="E82" s="10">
        <f>'Rebalancing Simulation'!F82-Deviation!$D$6</f>
        <v>-6.3093427809212732E-2</v>
      </c>
      <c r="F82" s="10">
        <f>'Rebalancing Simulation'!G82-Deviation!$D$7</f>
        <v>-2.1798834582225979E-2</v>
      </c>
      <c r="G82" s="10">
        <f>'Rebalancing Simulation'!H82-Deviation!$D$8</f>
        <v>-8.9489375912523983E-3</v>
      </c>
      <c r="H82" s="10">
        <f>'Rebalancing Simulation'!I82-Deviation!$D$9</f>
        <v>-1.6641819602311786E-2</v>
      </c>
      <c r="I82">
        <f t="shared" si="1"/>
        <v>1</v>
      </c>
    </row>
    <row r="83" spans="1:9" x14ac:dyDescent="0.2">
      <c r="A83" s="1">
        <f>'Rebalancing Simulation'!A83</f>
        <v>44500</v>
      </c>
      <c r="B83" s="10">
        <f>'Rebalancing Simulation'!C83 -$D$3</f>
        <v>0.12759221265962917</v>
      </c>
      <c r="C83" s="10">
        <f>'Rebalancing Simulation'!D83-Deviation!$D$4</f>
        <v>-7.4679079596821074E-3</v>
      </c>
      <c r="D83" s="10">
        <f>'Rebalancing Simulation'!E83-Deviation!$D$5</f>
        <v>-2.4848602117705024E-3</v>
      </c>
      <c r="E83" s="10">
        <f>'Rebalancing Simulation'!F83-Deviation!$D$6</f>
        <v>-6.9452338528191077E-2</v>
      </c>
      <c r="F83" s="10">
        <f>'Rebalancing Simulation'!G83-Deviation!$D$7</f>
        <v>-2.4705104262692221E-2</v>
      </c>
      <c r="G83" s="10">
        <f>'Rebalancing Simulation'!H83-Deviation!$D$8</f>
        <v>-6.569472534372317E-3</v>
      </c>
      <c r="H83" s="10">
        <f>'Rebalancing Simulation'!I83-Deviation!$D$9</f>
        <v>-1.6912529162920797E-2</v>
      </c>
      <c r="I83">
        <f t="shared" si="1"/>
        <v>1</v>
      </c>
    </row>
    <row r="84" spans="1:9" x14ac:dyDescent="0.2">
      <c r="A84" s="1">
        <f>'Rebalancing Simulation'!A84</f>
        <v>44530</v>
      </c>
      <c r="B84" s="10">
        <f>'Rebalancing Simulation'!C84 -$D$3</f>
        <v>0.1314670908123412</v>
      </c>
      <c r="C84" s="10">
        <f>'Rebalancing Simulation'!D84-Deviation!$D$4</f>
        <v>-1.1597003725174554E-2</v>
      </c>
      <c r="D84" s="10">
        <f>'Rebalancing Simulation'!E84-Deviation!$D$5</f>
        <v>-3.6402962761227994E-3</v>
      </c>
      <c r="E84" s="10">
        <f>'Rebalancing Simulation'!F84-Deviation!$D$6</f>
        <v>-6.5849817851020037E-2</v>
      </c>
      <c r="F84" s="10">
        <f>'Rebalancing Simulation'!G84-Deviation!$D$7</f>
        <v>-2.3644645390620472E-2</v>
      </c>
      <c r="G84" s="10">
        <f>'Rebalancing Simulation'!H84-Deviation!$D$8</f>
        <v>-6.974454172359118E-3</v>
      </c>
      <c r="H84" s="10">
        <f>'Rebalancing Simulation'!I84-Deviation!$D$9</f>
        <v>-1.9760873397044354E-2</v>
      </c>
      <c r="I84">
        <f t="shared" si="1"/>
        <v>1</v>
      </c>
    </row>
    <row r="85" spans="1:9" x14ac:dyDescent="0.2">
      <c r="A85" s="1">
        <f>'Rebalancing Simulation'!A85</f>
        <v>44561</v>
      </c>
      <c r="B85" s="10">
        <f>'Rebalancing Simulation'!C85 -$D$3</f>
        <v>0.13525391923266383</v>
      </c>
      <c r="C85" s="10">
        <f>'Rebalancing Simulation'!D85-Deviation!$D$4</f>
        <v>-1.308467129996238E-2</v>
      </c>
      <c r="D85" s="10">
        <f>'Rebalancing Simulation'!E85-Deviation!$D$5</f>
        <v>-4.6232049655055701E-3</v>
      </c>
      <c r="E85" s="10">
        <f>'Rebalancing Simulation'!F85-Deviation!$D$6</f>
        <v>-7.1429277895915466E-2</v>
      </c>
      <c r="F85" s="10">
        <f>'Rebalancing Simulation'!G85-Deviation!$D$7</f>
        <v>-2.6535436507939034E-2</v>
      </c>
      <c r="G85" s="10">
        <f>'Rebalancing Simulation'!H85-Deviation!$D$8</f>
        <v>-1.5949250501447743E-3</v>
      </c>
      <c r="H85" s="10">
        <f>'Rebalancing Simulation'!I85-Deviation!$D$9</f>
        <v>-1.7986403513196636E-2</v>
      </c>
      <c r="I85">
        <f t="shared" si="1"/>
        <v>1</v>
      </c>
    </row>
    <row r="86" spans="1:9" x14ac:dyDescent="0.2">
      <c r="A86" s="1">
        <f>'Rebalancing Simulation'!A86</f>
        <v>44592</v>
      </c>
      <c r="B86" s="10">
        <f>'Rebalancing Simulation'!C86 -$D$3</f>
        <v>0.13044700887888644</v>
      </c>
      <c r="C86" s="10">
        <f>'Rebalancing Simulation'!D86-Deviation!$D$4</f>
        <v>-1.2239397650970957E-2</v>
      </c>
      <c r="D86" s="10">
        <f>'Rebalancing Simulation'!E86-Deviation!$D$5</f>
        <v>-2.6354541586067273E-3</v>
      </c>
      <c r="E86" s="10">
        <f>'Rebalancing Simulation'!F86-Deviation!$D$6</f>
        <v>-6.8597466903025872E-2</v>
      </c>
      <c r="F86" s="10">
        <f>'Rebalancing Simulation'!G86-Deviation!$D$7</f>
        <v>-2.6054710375640444E-2</v>
      </c>
      <c r="G86" s="10">
        <f>'Rebalancing Simulation'!H86-Deviation!$D$8</f>
        <v>-5.9138706337186764E-3</v>
      </c>
      <c r="H86" s="10">
        <f>'Rebalancing Simulation'!I86-Deviation!$D$9</f>
        <v>-1.5006109156923741E-2</v>
      </c>
      <c r="I86">
        <f t="shared" si="1"/>
        <v>1</v>
      </c>
    </row>
    <row r="87" spans="1:9" x14ac:dyDescent="0.2">
      <c r="A87" s="1">
        <f>'Rebalancing Simulation'!A87</f>
        <v>44620</v>
      </c>
      <c r="B87" s="10">
        <f>'Rebalancing Simulation'!C87 -$D$3</f>
        <v>0.12773110815577748</v>
      </c>
      <c r="C87" s="10">
        <f>'Rebalancing Simulation'!D87-Deviation!$D$4</f>
        <v>-1.3794209653762879E-2</v>
      </c>
      <c r="D87" s="10">
        <f>'Rebalancing Simulation'!E87-Deviation!$D$5</f>
        <v>-3.5980401541591753E-3</v>
      </c>
      <c r="E87" s="10">
        <f>'Rebalancing Simulation'!F87-Deviation!$D$6</f>
        <v>-6.599601773794278E-2</v>
      </c>
      <c r="F87" s="10">
        <f>'Rebalancing Simulation'!G87-Deviation!$D$7</f>
        <v>-2.6042346158048915E-2</v>
      </c>
      <c r="G87" s="10">
        <f>'Rebalancing Simulation'!H87-Deviation!$D$8</f>
        <v>-7.0215574047835516E-3</v>
      </c>
      <c r="H87" s="10">
        <f>'Rebalancing Simulation'!I87-Deviation!$D$9</f>
        <v>-1.1278937047080204E-2</v>
      </c>
      <c r="I87">
        <f t="shared" si="1"/>
        <v>1</v>
      </c>
    </row>
    <row r="88" spans="1:9" x14ac:dyDescent="0.2">
      <c r="A88" s="1">
        <f>'Rebalancing Simulation'!A88</f>
        <v>44651</v>
      </c>
      <c r="B88" s="10">
        <f>'Rebalancing Simulation'!C88 -$D$3</f>
        <v>0.13589842064296775</v>
      </c>
      <c r="C88" s="10">
        <f>'Rebalancing Simulation'!D88-Deviation!$D$4</f>
        <v>-1.5534229742885652E-2</v>
      </c>
      <c r="D88" s="10">
        <f>'Rebalancing Simulation'!E88-Deviation!$D$5</f>
        <v>-5.9671269286867695E-3</v>
      </c>
      <c r="E88" s="10">
        <f>'Rebalancing Simulation'!F88-Deviation!$D$6</f>
        <v>-7.3850449237789467E-2</v>
      </c>
      <c r="F88" s="10">
        <f>'Rebalancing Simulation'!G88-Deviation!$D$7</f>
        <v>-2.9608819910347334E-2</v>
      </c>
      <c r="G88" s="10">
        <f>'Rebalancing Simulation'!H88-Deviation!$D$8</f>
        <v>-2.9605243349612037E-3</v>
      </c>
      <c r="H88" s="10">
        <f>'Rebalancing Simulation'!I88-Deviation!$D$9</f>
        <v>-7.9772704882972445E-3</v>
      </c>
      <c r="I88">
        <f t="shared" si="1"/>
        <v>1</v>
      </c>
    </row>
    <row r="89" spans="1:9" x14ac:dyDescent="0.2">
      <c r="A89" s="1">
        <f>'Rebalancing Simulation'!A89</f>
        <v>44681</v>
      </c>
      <c r="B89" s="10">
        <f>'Rebalancing Simulation'!C89 -$D$3</f>
        <v>0.12662317397535888</v>
      </c>
      <c r="C89" s="10">
        <f>'Rebalancing Simulation'!D89-Deviation!$D$4</f>
        <v>-1.5451243363691164E-2</v>
      </c>
      <c r="D89" s="10">
        <f>'Rebalancing Simulation'!E89-Deviation!$D$5</f>
        <v>-5.6560937363706182E-3</v>
      </c>
      <c r="E89" s="10">
        <f>'Rebalancing Simulation'!F89-Deviation!$D$6</f>
        <v>-7.0516520575618941E-2</v>
      </c>
      <c r="F89" s="10">
        <f>'Rebalancing Simulation'!G89-Deviation!$D$7</f>
        <v>-2.9688715280227818E-2</v>
      </c>
      <c r="G89" s="10">
        <f>'Rebalancing Simulation'!H89-Deviation!$D$8</f>
        <v>-1.3878705399131275E-4</v>
      </c>
      <c r="H89" s="10">
        <f>'Rebalancing Simulation'!I89-Deviation!$D$9</f>
        <v>-5.171813965458974E-3</v>
      </c>
      <c r="I89">
        <f t="shared" si="1"/>
        <v>1</v>
      </c>
    </row>
    <row r="90" spans="1:9" x14ac:dyDescent="0.2">
      <c r="A90" s="1">
        <f>'Rebalancing Simulation'!A90</f>
        <v>44712</v>
      </c>
      <c r="B90" s="10">
        <f>'Rebalancing Simulation'!C90 -$D$3</f>
        <v>0.12514075036526462</v>
      </c>
      <c r="C90" s="10">
        <f>'Rebalancing Simulation'!D90-Deviation!$D$4</f>
        <v>-1.355110114795835E-2</v>
      </c>
      <c r="D90" s="10">
        <f>'Rebalancing Simulation'!E90-Deviation!$D$5</f>
        <v>-5.6389981329322408E-3</v>
      </c>
      <c r="E90" s="10">
        <f>'Rebalancing Simulation'!F90-Deviation!$D$6</f>
        <v>-7.0464096914885255E-2</v>
      </c>
      <c r="F90" s="10">
        <f>'Rebalancing Simulation'!G90-Deviation!$D$7</f>
        <v>-2.8789365538446854E-2</v>
      </c>
      <c r="G90" s="10">
        <f>'Rebalancing Simulation'!H90-Deviation!$D$8</f>
        <v>-5.3644083661747444E-3</v>
      </c>
      <c r="H90" s="10">
        <f>'Rebalancing Simulation'!I90-Deviation!$D$9</f>
        <v>-1.3327802648672171E-3</v>
      </c>
      <c r="I90">
        <f t="shared" si="1"/>
        <v>1</v>
      </c>
    </row>
    <row r="91" spans="1:9" x14ac:dyDescent="0.2">
      <c r="A91" s="1">
        <f>'Rebalancing Simulation'!A91</f>
        <v>44742</v>
      </c>
      <c r="B91" s="10">
        <f>'Rebalancing Simulation'!C91 -$D$3</f>
        <v>0.11834181000348276</v>
      </c>
      <c r="C91" s="10">
        <f>'Rebalancing Simulation'!D91-Deviation!$D$4</f>
        <v>-1.6485905735065365E-2</v>
      </c>
      <c r="D91" s="10">
        <f>'Rebalancing Simulation'!E91-Deviation!$D$5</f>
        <v>-4.8812658948765436E-3</v>
      </c>
      <c r="E91" s="10">
        <f>'Rebalancing Simulation'!F91-Deviation!$D$6</f>
        <v>-6.2443568275928646E-2</v>
      </c>
      <c r="F91" s="10">
        <f>'Rebalancing Simulation'!G91-Deviation!$D$7</f>
        <v>-2.6569827016350148E-2</v>
      </c>
      <c r="G91" s="10">
        <f>'Rebalancing Simulation'!H91-Deviation!$D$8</f>
        <v>-6.0745624251516972E-3</v>
      </c>
      <c r="H91" s="10">
        <f>'Rebalancing Simulation'!I91-Deviation!$D$9</f>
        <v>-1.8866806561104454E-3</v>
      </c>
      <c r="I91">
        <f t="shared" si="1"/>
        <v>1</v>
      </c>
    </row>
    <row r="92" spans="1:9" x14ac:dyDescent="0.2">
      <c r="A92" s="1">
        <f>'Rebalancing Simulation'!A92</f>
        <v>44773</v>
      </c>
      <c r="B92" s="10">
        <f>'Rebalancing Simulation'!C92 -$D$3</f>
        <v>0.1294958867131728</v>
      </c>
      <c r="C92" s="10">
        <f>'Rebalancing Simulation'!D92-Deviation!$D$4</f>
        <v>-1.7995574176547374E-2</v>
      </c>
      <c r="D92" s="10">
        <f>'Rebalancing Simulation'!E92-Deviation!$D$5</f>
        <v>-7.7319923791934336E-3</v>
      </c>
      <c r="E92" s="10">
        <f>'Rebalancing Simulation'!F92-Deviation!$D$6</f>
        <v>-6.7053964142924721E-2</v>
      </c>
      <c r="F92" s="10">
        <f>'Rebalancing Simulation'!G92-Deviation!$D$7</f>
        <v>-2.8097969806623227E-2</v>
      </c>
      <c r="G92" s="10">
        <f>'Rebalancing Simulation'!H92-Deviation!$D$8</f>
        <v>-4.0884529667025854E-3</v>
      </c>
      <c r="H92" s="10">
        <f>'Rebalancing Simulation'!I92-Deviation!$D$9</f>
        <v>-4.5279332411816836E-3</v>
      </c>
      <c r="I92">
        <f t="shared" si="1"/>
        <v>1</v>
      </c>
    </row>
    <row r="93" spans="1:9" x14ac:dyDescent="0.2">
      <c r="A93" s="1">
        <f>'Rebalancing Simulation'!A93</f>
        <v>44804</v>
      </c>
      <c r="B93" s="10">
        <f>'Rebalancing Simulation'!C93 -$D$3</f>
        <v>0.13018525234369627</v>
      </c>
      <c r="C93" s="10">
        <f>'Rebalancing Simulation'!D93-Deviation!$D$4</f>
        <v>-2.0593904647320055E-2</v>
      </c>
      <c r="D93" s="10">
        <f>'Rebalancing Simulation'!E93-Deviation!$D$5</f>
        <v>-6.4496510092917278E-3</v>
      </c>
      <c r="E93" s="10">
        <f>'Rebalancing Simulation'!F93-Deviation!$D$6</f>
        <v>-6.6532380748156067E-2</v>
      </c>
      <c r="F93" s="10">
        <f>'Rebalancing Simulation'!G93-Deviation!$D$7</f>
        <v>-2.8240648891606004E-2</v>
      </c>
      <c r="G93" s="10">
        <f>'Rebalancing Simulation'!H93-Deviation!$D$8</f>
        <v>-5.8756767789356762E-3</v>
      </c>
      <c r="H93" s="10">
        <f>'Rebalancing Simulation'!I93-Deviation!$D$9</f>
        <v>-2.492990268386841E-3</v>
      </c>
      <c r="I93">
        <f t="shared" si="1"/>
        <v>1</v>
      </c>
    </row>
    <row r="94" spans="1:9" x14ac:dyDescent="0.2">
      <c r="A94" s="1">
        <f>'Rebalancing Simulation'!A94</f>
        <v>44834</v>
      </c>
      <c r="B94" s="10">
        <f>'Rebalancing Simulation'!C94 -$D$3</f>
        <v>0.12959172536935248</v>
      </c>
      <c r="C94" s="10">
        <f>'Rebalancing Simulation'!D94-Deviation!$D$4</f>
        <v>-2.0739374396960858E-2</v>
      </c>
      <c r="D94" s="10">
        <f>'Rebalancing Simulation'!E94-Deviation!$D$5</f>
        <v>-7.6091747167757878E-3</v>
      </c>
      <c r="E94" s="10">
        <f>'Rebalancing Simulation'!F94-Deviation!$D$6</f>
        <v>-6.0341181138310662E-2</v>
      </c>
      <c r="F94" s="10">
        <f>'Rebalancing Simulation'!G94-Deviation!$D$7</f>
        <v>-2.5968236088749888E-2</v>
      </c>
      <c r="G94" s="10">
        <f>'Rebalancing Simulation'!H94-Deviation!$D$8</f>
        <v>-9.7577674264618247E-3</v>
      </c>
      <c r="H94" s="10">
        <f>'Rebalancing Simulation'!I94-Deviation!$D$9</f>
        <v>-5.1759916020936991E-3</v>
      </c>
      <c r="I94">
        <f t="shared" si="1"/>
        <v>1</v>
      </c>
    </row>
    <row r="95" spans="1:9" x14ac:dyDescent="0.2">
      <c r="A95" s="1">
        <f>'Rebalancing Simulation'!A95</f>
        <v>44865</v>
      </c>
      <c r="B95" s="10">
        <f>'Rebalancing Simulation'!C95 -$D$3</f>
        <v>0.14372640082247179</v>
      </c>
      <c r="C95" s="10">
        <f>'Rebalancing Simulation'!D95-Deviation!$D$4</f>
        <v>-1.9247112752272671E-2</v>
      </c>
      <c r="D95" s="10">
        <f>'Rebalancing Simulation'!E95-Deviation!$D$5</f>
        <v>-1.0306729205458831E-2</v>
      </c>
      <c r="E95" s="10">
        <f>'Rebalancing Simulation'!F95-Deviation!$D$6</f>
        <v>-6.8789715240169552E-2</v>
      </c>
      <c r="F95" s="10">
        <f>'Rebalancing Simulation'!G95-Deviation!$D$7</f>
        <v>-3.0041858435351732E-2</v>
      </c>
      <c r="G95" s="10">
        <f>'Rebalancing Simulation'!H95-Deviation!$D$8</f>
        <v>-1.0773458278226983E-2</v>
      </c>
      <c r="H95" s="10">
        <f>'Rebalancing Simulation'!I95-Deviation!$D$9</f>
        <v>-4.567526910992048E-3</v>
      </c>
      <c r="I95">
        <f t="shared" si="1"/>
        <v>1</v>
      </c>
    </row>
    <row r="96" spans="1:9" x14ac:dyDescent="0.2">
      <c r="A96" s="1">
        <f>'Rebalancing Simulation'!A96</f>
        <v>44895</v>
      </c>
      <c r="B96" s="10">
        <f>'Rebalancing Simulation'!C96 -$D$3</f>
        <v>0.13724055337311641</v>
      </c>
      <c r="C96" s="10">
        <f>'Rebalancing Simulation'!D96-Deviation!$D$4</f>
        <v>-1.1873599481296987E-2</v>
      </c>
      <c r="D96" s="10">
        <f>'Rebalancing Simulation'!E96-Deviation!$D$5</f>
        <v>-7.1709907920423782E-3</v>
      </c>
      <c r="E96" s="10">
        <f>'Rebalancing Simulation'!F96-Deviation!$D$6</f>
        <v>-7.3098554182786907E-2</v>
      </c>
      <c r="F96" s="10">
        <f>'Rebalancing Simulation'!G96-Deviation!$D$7</f>
        <v>-3.0352762968496871E-2</v>
      </c>
      <c r="G96" s="10">
        <f>'Rebalancing Simulation'!H96-Deviation!$D$8</f>
        <v>-1.1590421638225462E-2</v>
      </c>
      <c r="H96" s="10">
        <f>'Rebalancing Simulation'!I96-Deviation!$D$9</f>
        <v>-3.1542243102680029E-3</v>
      </c>
      <c r="I96">
        <f t="shared" si="1"/>
        <v>1</v>
      </c>
    </row>
    <row r="97" spans="1:9" x14ac:dyDescent="0.2">
      <c r="A97" s="1">
        <f>'Rebalancing Simulation'!A97</f>
        <v>44926</v>
      </c>
      <c r="B97" s="10">
        <f>'Rebalancing Simulation'!C97 -$D$3</f>
        <v>0.13058317895978289</v>
      </c>
      <c r="C97" s="10">
        <f>'Rebalancing Simulation'!D97-Deviation!$D$4</f>
        <v>-8.8400386618012194E-3</v>
      </c>
      <c r="D97" s="10">
        <f>'Rebalancing Simulation'!E97-Deviation!$D$5</f>
        <v>-6.4236413952099003E-3</v>
      </c>
      <c r="E97" s="10">
        <f>'Rebalancing Simulation'!F97-Deviation!$D$6</f>
        <v>-6.9873633948162484E-2</v>
      </c>
      <c r="F97" s="10">
        <f>'Rebalancing Simulation'!G97-Deviation!$D$7</f>
        <v>-2.8792009892277939E-2</v>
      </c>
      <c r="G97" s="10">
        <f>'Rebalancing Simulation'!H97-Deviation!$D$8</f>
        <v>-1.3485504951672847E-2</v>
      </c>
      <c r="H97" s="10">
        <f>'Rebalancing Simulation'!I97-Deviation!$D$9</f>
        <v>-3.1683501106585521E-3</v>
      </c>
      <c r="I97">
        <f t="shared" si="1"/>
        <v>1</v>
      </c>
    </row>
    <row r="98" spans="1:9" x14ac:dyDescent="0.2">
      <c r="A98" s="1">
        <f>'Rebalancing Simulation'!A98</f>
        <v>44957</v>
      </c>
      <c r="B98" s="10">
        <f>'Rebalancing Simulation'!C98 -$D$3</f>
        <v>0.12924066798333766</v>
      </c>
      <c r="C98" s="10">
        <f>'Rebalancing Simulation'!D98-Deviation!$D$4</f>
        <v>-5.6858100323727012E-3</v>
      </c>
      <c r="D98" s="10">
        <f>'Rebalancing Simulation'!E98-Deviation!$D$5</f>
        <v>-5.3985759689403057E-3</v>
      </c>
      <c r="E98" s="10">
        <f>'Rebalancing Simulation'!F98-Deviation!$D$6</f>
        <v>-7.3583908669248493E-2</v>
      </c>
      <c r="F98" s="10">
        <f>'Rebalancing Simulation'!G98-Deviation!$D$7</f>
        <v>-2.9768004486061234E-2</v>
      </c>
      <c r="G98" s="10">
        <f>'Rebalancing Simulation'!H98-Deviation!$D$8</f>
        <v>-1.0417266429183045E-2</v>
      </c>
      <c r="H98" s="10">
        <f>'Rebalancing Simulation'!I98-Deviation!$D$9</f>
        <v>-4.3871023975317891E-3</v>
      </c>
      <c r="I98">
        <f t="shared" si="1"/>
        <v>1</v>
      </c>
    </row>
    <row r="99" spans="1:9" x14ac:dyDescent="0.2">
      <c r="A99" s="1">
        <f>'Rebalancing Simulation'!A99</f>
        <v>44985</v>
      </c>
      <c r="B99" s="10">
        <f>'Rebalancing Simulation'!C99 -$D$3</f>
        <v>0.13355204688240313</v>
      </c>
      <c r="C99" s="10">
        <f>'Rebalancing Simulation'!D99-Deviation!$D$4</f>
        <v>-5.0742743101050702E-3</v>
      </c>
      <c r="D99" s="10">
        <f>'Rebalancing Simulation'!E99-Deviation!$D$5</f>
        <v>-7.2858807808429682E-3</v>
      </c>
      <c r="E99" s="10">
        <f>'Rebalancing Simulation'!F99-Deviation!$D$6</f>
        <v>-7.3575668363259517E-2</v>
      </c>
      <c r="F99" s="10">
        <f>'Rebalancing Simulation'!G99-Deviation!$D$7</f>
        <v>-3.0481794463230127E-2</v>
      </c>
      <c r="G99" s="10">
        <f>'Rebalancing Simulation'!H99-Deviation!$D$8</f>
        <v>-1.2626758652638501E-2</v>
      </c>
      <c r="H99" s="10">
        <f>'Rebalancing Simulation'!I99-Deviation!$D$9</f>
        <v>-4.5076703123269474E-3</v>
      </c>
      <c r="I99">
        <f t="shared" si="1"/>
        <v>1</v>
      </c>
    </row>
    <row r="100" spans="1:9" x14ac:dyDescent="0.2">
      <c r="A100" s="1">
        <f>'Rebalancing Simulation'!A100</f>
        <v>45016</v>
      </c>
      <c r="B100" s="10">
        <f>'Rebalancing Simulation'!C100 -$D$3</f>
        <v>0.13715636400004477</v>
      </c>
      <c r="C100" s="10">
        <f>'Rebalancing Simulation'!D100-Deviation!$D$4</f>
        <v>-4.6862098862278101E-3</v>
      </c>
      <c r="D100" s="10">
        <f>'Rebalancing Simulation'!E100-Deviation!$D$5</f>
        <v>-7.134959285107878E-3</v>
      </c>
      <c r="E100" s="10">
        <f>'Rebalancing Simulation'!F100-Deviation!$D$6</f>
        <v>-7.2770409742382136E-2</v>
      </c>
      <c r="F100" s="10">
        <f>'Rebalancing Simulation'!G100-Deviation!$D$7</f>
        <v>-3.0055903415909371E-2</v>
      </c>
      <c r="G100" s="10">
        <f>'Rebalancing Simulation'!H100-Deviation!$D$8</f>
        <v>-1.770680353231617E-2</v>
      </c>
      <c r="H100" s="10">
        <f>'Rebalancing Simulation'!I100-Deviation!$D$9</f>
        <v>-4.8020781381014344E-3</v>
      </c>
      <c r="I100">
        <f t="shared" si="1"/>
        <v>1</v>
      </c>
    </row>
    <row r="101" spans="1:9" x14ac:dyDescent="0.2">
      <c r="A101" s="1">
        <f>'Rebalancing Simulation'!A101</f>
        <v>45046</v>
      </c>
      <c r="B101" s="10">
        <f>'Rebalancing Simulation'!C101 -$D$3</f>
        <v>0.13771452940019357</v>
      </c>
      <c r="C101" s="10">
        <f>'Rebalancing Simulation'!D101-Deviation!$D$4</f>
        <v>-2.5813574682206908E-3</v>
      </c>
      <c r="D101" s="10">
        <f>'Rebalancing Simulation'!E101-Deviation!$D$5</f>
        <v>-8.1077317599620655E-3</v>
      </c>
      <c r="E101" s="10">
        <f>'Rebalancing Simulation'!F101-Deviation!$D$6</f>
        <v>-7.3837605129695727E-2</v>
      </c>
      <c r="F101" s="10">
        <f>'Rebalancing Simulation'!G101-Deviation!$D$7</f>
        <v>-3.0865570167990561E-2</v>
      </c>
      <c r="G101" s="10">
        <f>'Rebalancing Simulation'!H101-Deviation!$D$8</f>
        <v>-1.8642262481414706E-2</v>
      </c>
      <c r="H101" s="10">
        <f>'Rebalancing Simulation'!I101-Deviation!$D$9</f>
        <v>-3.6800023929099285E-3</v>
      </c>
      <c r="I101">
        <f t="shared" si="1"/>
        <v>1</v>
      </c>
    </row>
    <row r="102" spans="1:9" x14ac:dyDescent="0.2">
      <c r="A102" s="1">
        <f>'Rebalancing Simulation'!A102</f>
        <v>45077</v>
      </c>
      <c r="B102" s="10">
        <f>'Rebalancing Simulation'!C102 -$D$3</f>
        <v>0.14731012516219749</v>
      </c>
      <c r="C102" s="10">
        <f>'Rebalancing Simulation'!D102-Deviation!$D$4</f>
        <v>-6.0512103788338545E-3</v>
      </c>
      <c r="D102" s="10">
        <f>'Rebalancing Simulation'!E102-Deviation!$D$5</f>
        <v>-8.4098929255163671E-3</v>
      </c>
      <c r="E102" s="10">
        <f>'Rebalancing Simulation'!F102-Deviation!$D$6</f>
        <v>-7.3813665284999247E-2</v>
      </c>
      <c r="F102" s="10">
        <f>'Rebalancing Simulation'!G102-Deviation!$D$7</f>
        <v>-3.1152610651161899E-2</v>
      </c>
      <c r="G102" s="10">
        <f>'Rebalancing Simulation'!H102-Deviation!$D$8</f>
        <v>-2.0519575155465583E-2</v>
      </c>
      <c r="H102" s="10">
        <f>'Rebalancing Simulation'!I102-Deviation!$D$9</f>
        <v>-7.3631707662206308E-3</v>
      </c>
      <c r="I102">
        <f t="shared" si="1"/>
        <v>1</v>
      </c>
    </row>
    <row r="103" spans="1:9" x14ac:dyDescent="0.2">
      <c r="A103" s="1">
        <f>'Rebalancing Simulation'!A103</f>
        <v>45107</v>
      </c>
      <c r="B103" s="10">
        <f>'Rebalancing Simulation'!C103 -$D$3</f>
        <v>0.15893544003014504</v>
      </c>
      <c r="C103" s="10">
        <f>'Rebalancing Simulation'!D103-Deviation!$D$4</f>
        <v>-7.7079779623374367E-3</v>
      </c>
      <c r="D103" s="10">
        <f>'Rebalancing Simulation'!E103-Deviation!$D$5</f>
        <v>-8.1632934358122702E-3</v>
      </c>
      <c r="E103" s="10">
        <f>'Rebalancing Simulation'!F103-Deviation!$D$6</f>
        <v>-8.0224723680078908E-2</v>
      </c>
      <c r="F103" s="10">
        <f>'Rebalancing Simulation'!G103-Deviation!$D$7</f>
        <v>-3.3342277280117294E-2</v>
      </c>
      <c r="G103" s="10">
        <f>'Rebalancing Simulation'!H103-Deviation!$D$8</f>
        <v>-2.0009531144574932E-2</v>
      </c>
      <c r="H103" s="10">
        <f>'Rebalancing Simulation'!I103-Deviation!$D$9</f>
        <v>-9.4876365272243551E-3</v>
      </c>
      <c r="I103">
        <f t="shared" si="1"/>
        <v>1</v>
      </c>
    </row>
    <row r="104" spans="1:9" x14ac:dyDescent="0.2">
      <c r="A104" s="1">
        <f>'Rebalancing Simulation'!A104</f>
        <v>45138</v>
      </c>
      <c r="B104" s="10">
        <f>'Rebalancing Simulation'!C104 -$D$3</f>
        <v>0.16310091689653855</v>
      </c>
      <c r="C104" s="10">
        <f>'Rebalancing Simulation'!D104-Deviation!$D$4</f>
        <v>-7.2069460448380696E-3</v>
      </c>
      <c r="D104" s="10">
        <f>'Rebalancing Simulation'!E104-Deviation!$D$5</f>
        <v>-6.6515106911478675E-3</v>
      </c>
      <c r="E104" s="10">
        <f>'Rebalancing Simulation'!F104-Deviation!$D$6</f>
        <v>-8.4008815360068878E-2</v>
      </c>
      <c r="F104" s="10">
        <f>'Rebalancing Simulation'!G104-Deviation!$D$7</f>
        <v>-3.5043029408002205E-2</v>
      </c>
      <c r="G104" s="10">
        <f>'Rebalancing Simulation'!H104-Deviation!$D$8</f>
        <v>-2.0250743068435967E-2</v>
      </c>
      <c r="H104" s="10">
        <f>'Rebalancing Simulation'!I104-Deviation!$D$9</f>
        <v>-9.9398723240456122E-3</v>
      </c>
      <c r="I104">
        <f t="shared" si="1"/>
        <v>1</v>
      </c>
    </row>
    <row r="105" spans="1:9" x14ac:dyDescent="0.2">
      <c r="A105" s="1">
        <f>'Rebalancing Simulation'!A105</f>
        <v>45169</v>
      </c>
      <c r="B105" s="10">
        <f>'Rebalancing Simulation'!C105 -$D$3</f>
        <v>0.16741474985419647</v>
      </c>
      <c r="C105" s="10">
        <f>'Rebalancing Simulation'!D105-Deviation!$D$4</f>
        <v>-9.2602997687310229E-3</v>
      </c>
      <c r="D105" s="10">
        <f>'Rebalancing Simulation'!E105-Deviation!$D$5</f>
        <v>-8.4721217652302255E-3</v>
      </c>
      <c r="E105" s="10">
        <f>'Rebalancing Simulation'!F105-Deviation!$D$6</f>
        <v>-8.2162303414922394E-2</v>
      </c>
      <c r="F105" s="10">
        <f>'Rebalancing Simulation'!G105-Deviation!$D$7</f>
        <v>-3.4398938124800063E-2</v>
      </c>
      <c r="G105" s="10">
        <f>'Rebalancing Simulation'!H105-Deviation!$D$8</f>
        <v>-2.0941703731524514E-2</v>
      </c>
      <c r="H105" s="10">
        <f>'Rebalancing Simulation'!I105-Deviation!$D$9</f>
        <v>-1.2179383048988413E-2</v>
      </c>
      <c r="I105">
        <f t="shared" si="1"/>
        <v>1</v>
      </c>
    </row>
    <row r="106" spans="1:9" x14ac:dyDescent="0.2">
      <c r="A106" s="1">
        <f>'Rebalancing Simulation'!A106</f>
        <v>45199</v>
      </c>
      <c r="B106" s="10">
        <f>'Rebalancing Simulation'!C106 -$D$3</f>
        <v>0.16659091806424103</v>
      </c>
      <c r="C106" s="10">
        <f>'Rebalancing Simulation'!D106-Deviation!$D$4</f>
        <v>-7.8938291247322712E-3</v>
      </c>
      <c r="D106" s="10">
        <f>'Rebalancing Simulation'!E106-Deviation!$D$5</f>
        <v>-7.8363364127032389E-3</v>
      </c>
      <c r="E106" s="10">
        <f>'Rebalancing Simulation'!F106-Deviation!$D$6</f>
        <v>-8.0693738212771288E-2</v>
      </c>
      <c r="F106" s="10">
        <f>'Rebalancing Simulation'!G106-Deviation!$D$7</f>
        <v>-3.3934526717672955E-2</v>
      </c>
      <c r="G106" s="10">
        <f>'Rebalancing Simulation'!H106-Deviation!$D$8</f>
        <v>-2.3909353832780242E-2</v>
      </c>
      <c r="H106" s="10">
        <f>'Rebalancing Simulation'!I106-Deviation!$D$9</f>
        <v>-1.2323133763581004E-2</v>
      </c>
      <c r="I106">
        <f t="shared" si="1"/>
        <v>1</v>
      </c>
    </row>
    <row r="107" spans="1:9" x14ac:dyDescent="0.2">
      <c r="A107" s="1">
        <f>'Rebalancing Simulation'!A107</f>
        <v>45230</v>
      </c>
      <c r="B107" s="10">
        <f>'Rebalancing Simulation'!C107 -$D$3</f>
        <v>0.16825970647061489</v>
      </c>
      <c r="C107" s="10">
        <f>'Rebalancing Simulation'!D107-Deviation!$D$4</f>
        <v>-8.4506392933539343E-3</v>
      </c>
      <c r="D107" s="10">
        <f>'Rebalancing Simulation'!E107-Deviation!$D$5</f>
        <v>-8.1711095610656134E-3</v>
      </c>
      <c r="E107" s="10">
        <f>'Rebalancing Simulation'!F107-Deviation!$D$6</f>
        <v>-8.0282117356454824E-2</v>
      </c>
      <c r="F107" s="10">
        <f>'Rebalancing Simulation'!G107-Deviation!$D$7</f>
        <v>-3.4119959721781737E-2</v>
      </c>
      <c r="G107" s="10">
        <f>'Rebalancing Simulation'!H107-Deviation!$D$8</f>
        <v>-2.4769160760003336E-2</v>
      </c>
      <c r="H107" s="10">
        <f>'Rebalancing Simulation'!I107-Deviation!$D$9</f>
        <v>-1.2466719777955437E-2</v>
      </c>
      <c r="I107">
        <f t="shared" si="1"/>
        <v>1</v>
      </c>
    </row>
    <row r="108" spans="1:9" x14ac:dyDescent="0.2">
      <c r="A108" s="1">
        <f>'Rebalancing Simulation'!A108</f>
        <v>45260</v>
      </c>
      <c r="B108" s="10">
        <f>'Rebalancing Simulation'!C108 -$D$3</f>
        <v>0.17110893994008319</v>
      </c>
      <c r="C108" s="10">
        <f>'Rebalancing Simulation'!D108-Deviation!$D$4</f>
        <v>-8.7869946430269574E-3</v>
      </c>
      <c r="D108" s="10">
        <f>'Rebalancing Simulation'!E108-Deviation!$D$5</f>
        <v>-8.4346807878023372E-3</v>
      </c>
      <c r="E108" s="10">
        <f>'Rebalancing Simulation'!F108-Deviation!$D$6</f>
        <v>-8.4931339324068864E-2</v>
      </c>
      <c r="F108" s="10">
        <f>'Rebalancing Simulation'!G108-Deviation!$D$7</f>
        <v>-3.4907620863839348E-2</v>
      </c>
      <c r="G108" s="10">
        <f>'Rebalancing Simulation'!H108-Deviation!$D$8</f>
        <v>-2.226887718217431E-2</v>
      </c>
      <c r="H108" s="10">
        <f>'Rebalancing Simulation'!I108-Deviation!$D$9</f>
        <v>-1.1779427139171378E-2</v>
      </c>
      <c r="I108">
        <f t="shared" si="1"/>
        <v>1</v>
      </c>
    </row>
    <row r="109" spans="1:9" x14ac:dyDescent="0.2">
      <c r="A109" s="1">
        <f>'Rebalancing Simulation'!A109</f>
        <v>45291</v>
      </c>
      <c r="B109" s="10">
        <f>'Rebalancing Simulation'!C109 -$D$3</f>
        <v>0.17218908200511607</v>
      </c>
      <c r="C109" s="10">
        <f>'Rebalancing Simulation'!D109-Deviation!$D$4</f>
        <v>-9.1639731487100085E-3</v>
      </c>
      <c r="D109" s="10">
        <f>'Rebalancing Simulation'!E109-Deviation!$D$5</f>
        <v>-8.7370286921966897E-3</v>
      </c>
      <c r="E109" s="10">
        <f>'Rebalancing Simulation'!F109-Deviation!$D$6</f>
        <v>-8.6182249251106624E-2</v>
      </c>
      <c r="F109" s="10">
        <f>'Rebalancing Simulation'!G109-Deviation!$D$7</f>
        <v>-3.5040490542959407E-2</v>
      </c>
      <c r="G109" s="10">
        <f>'Rebalancing Simulation'!H109-Deviation!$D$8</f>
        <v>-1.9446673081086635E-2</v>
      </c>
      <c r="H109" s="10">
        <f>'Rebalancing Simulation'!I109-Deviation!$D$9</f>
        <v>-1.361866728905671E-2</v>
      </c>
      <c r="I109">
        <f t="shared" si="1"/>
        <v>1</v>
      </c>
    </row>
    <row r="110" spans="1:9" x14ac:dyDescent="0.2">
      <c r="A110" s="1">
        <f>'Rebalancing Simulation'!A110</f>
        <v>45322</v>
      </c>
      <c r="B110" s="10">
        <f>'Rebalancing Simulation'!C110 -$D$3</f>
        <v>0.18084242442897536</v>
      </c>
      <c r="C110" s="10">
        <f>'Rebalancing Simulation'!D110-Deviation!$D$4</f>
        <v>-9.4707818645395903E-3</v>
      </c>
      <c r="D110" s="10">
        <f>'Rebalancing Simulation'!E110-Deviation!$D$5</f>
        <v>-1.051232805141971E-2</v>
      </c>
      <c r="E110" s="10">
        <f>'Rebalancing Simulation'!F110-Deviation!$D$6</f>
        <v>-8.5832567922987019E-2</v>
      </c>
      <c r="F110" s="10">
        <f>'Rebalancing Simulation'!G110-Deviation!$D$7</f>
        <v>-3.5176514825424471E-2</v>
      </c>
      <c r="G110" s="10">
        <f>'Rebalancing Simulation'!H110-Deviation!$D$8</f>
        <v>-2.3342451651710172E-2</v>
      </c>
      <c r="H110" s="10">
        <f>'Rebalancing Simulation'!I110-Deviation!$D$9</f>
        <v>-1.6507780112894208E-2</v>
      </c>
      <c r="I110">
        <f t="shared" si="1"/>
        <v>1</v>
      </c>
    </row>
    <row r="111" spans="1:9" x14ac:dyDescent="0.2">
      <c r="A111" s="1">
        <f>'Rebalancing Simulation'!A111</f>
        <v>45351</v>
      </c>
      <c r="B111" s="10">
        <f>'Rebalancing Simulation'!C111 -$D$3</f>
        <v>0.19175943397483031</v>
      </c>
      <c r="C111" s="10">
        <f>'Rebalancing Simulation'!D111-Deviation!$D$4</f>
        <v>-9.3276810712531188E-3</v>
      </c>
      <c r="D111" s="10">
        <f>'Rebalancing Simulation'!E111-Deviation!$D$5</f>
        <v>-1.0018685531645567E-2</v>
      </c>
      <c r="E111" s="10">
        <f>'Rebalancing Simulation'!F111-Deviation!$D$6</f>
        <v>-9.1607116630639848E-2</v>
      </c>
      <c r="F111" s="10">
        <f>'Rebalancing Simulation'!G111-Deviation!$D$7</f>
        <v>-3.8427597898197413E-2</v>
      </c>
      <c r="G111" s="10">
        <f>'Rebalancing Simulation'!H111-Deviation!$D$8</f>
        <v>-2.4015074997312619E-2</v>
      </c>
      <c r="H111" s="10">
        <f>'Rebalancing Simulation'!I111-Deviation!$D$9</f>
        <v>-1.8363277845781942E-2</v>
      </c>
      <c r="I111">
        <f t="shared" si="1"/>
        <v>1</v>
      </c>
    </row>
    <row r="112" spans="1:9" x14ac:dyDescent="0.2">
      <c r="A112" s="1">
        <f>'Rebalancing Simulation'!A112</f>
        <v>45382</v>
      </c>
      <c r="B112" s="10">
        <f>'Rebalancing Simulation'!C112 -$D$3</f>
        <v>0.19424233772615201</v>
      </c>
      <c r="C112" s="10">
        <f>'Rebalancing Simulation'!D112-Deviation!$D$4</f>
        <v>-8.4701738240405833E-3</v>
      </c>
      <c r="D112" s="10">
        <f>'Rebalancing Simulation'!E112-Deviation!$D$5</f>
        <v>-1.0029084746204703E-2</v>
      </c>
      <c r="E112" s="10">
        <f>'Rebalancing Simulation'!F112-Deviation!$D$6</f>
        <v>-9.4017861555426144E-2</v>
      </c>
      <c r="F112" s="10">
        <f>'Rebalancing Simulation'!G112-Deviation!$D$7</f>
        <v>-3.9375542838191266E-2</v>
      </c>
      <c r="G112" s="10">
        <f>'Rebalancing Simulation'!H112-Deviation!$D$8</f>
        <v>-2.5246485598711926E-2</v>
      </c>
      <c r="H112" s="10">
        <f>'Rebalancing Simulation'!I112-Deviation!$D$9</f>
        <v>-1.7103189163577476E-2</v>
      </c>
      <c r="I112">
        <f t="shared" si="1"/>
        <v>1</v>
      </c>
    </row>
    <row r="113" spans="1:9" x14ac:dyDescent="0.2">
      <c r="A113" s="1">
        <f>'Rebalancing Simulation'!A113</f>
        <v>45412</v>
      </c>
      <c r="B113" s="10">
        <f>'Rebalancing Simulation'!C113 -$D$3</f>
        <v>0.19247835882680397</v>
      </c>
      <c r="C113" s="10">
        <f>'Rebalancing Simulation'!D113-Deviation!$D$4</f>
        <v>-7.8147726143110996E-3</v>
      </c>
      <c r="D113" s="10">
        <f>'Rebalancing Simulation'!E113-Deviation!$D$5</f>
        <v>-8.5888262670787488E-3</v>
      </c>
      <c r="E113" s="10">
        <f>'Rebalancing Simulation'!F113-Deviation!$D$6</f>
        <v>-9.3713086643885959E-2</v>
      </c>
      <c r="F113" s="10">
        <f>'Rebalancing Simulation'!G113-Deviation!$D$7</f>
        <v>-3.9324542010458624E-2</v>
      </c>
      <c r="G113" s="10">
        <f>'Rebalancing Simulation'!H113-Deviation!$D$8</f>
        <v>-2.8548976337107748E-2</v>
      </c>
      <c r="H113" s="10">
        <f>'Rebalancing Simulation'!I113-Deviation!$D$9</f>
        <v>-1.4488154953961871E-2</v>
      </c>
      <c r="I113">
        <f t="shared" si="1"/>
        <v>1</v>
      </c>
    </row>
    <row r="114" spans="1:9" x14ac:dyDescent="0.2">
      <c r="A114" s="1">
        <f>'Rebalancing Simulation'!A114</f>
        <v>45443</v>
      </c>
      <c r="B114" s="10">
        <f>'Rebalancing Simulation'!C114 -$D$3</f>
        <v>0.19818935885135186</v>
      </c>
      <c r="C114" s="10">
        <f>'Rebalancing Simulation'!D114-Deviation!$D$4</f>
        <v>-1.0167013616244558E-2</v>
      </c>
      <c r="D114" s="10">
        <f>'Rebalancing Simulation'!E114-Deviation!$D$5</f>
        <v>-9.3471714564482902E-3</v>
      </c>
      <c r="E114" s="10">
        <f>'Rebalancing Simulation'!F114-Deviation!$D$6</f>
        <v>-9.612332419221517E-2</v>
      </c>
      <c r="F114" s="10">
        <f>'Rebalancing Simulation'!G114-Deviation!$D$7</f>
        <v>-4.0624327911711181E-2</v>
      </c>
      <c r="G114" s="10">
        <f>'Rebalancing Simulation'!H114-Deviation!$D$8</f>
        <v>-2.9679145567928805E-2</v>
      </c>
      <c r="H114" s="10">
        <f>'Rebalancing Simulation'!I114-Deviation!$D$9</f>
        <v>-1.2248376106803974E-2</v>
      </c>
      <c r="I114">
        <f t="shared" si="1"/>
        <v>1</v>
      </c>
    </row>
    <row r="115" spans="1:9" x14ac:dyDescent="0.2">
      <c r="A115" s="1">
        <f>'Rebalancing Simulation'!A115</f>
        <v>45473</v>
      </c>
      <c r="B115" s="10">
        <f>'Rebalancing Simulation'!C115 -$D$3</f>
        <v>0.20740006569341157</v>
      </c>
      <c r="C115" s="10">
        <f>'Rebalancing Simulation'!D115-Deviation!$D$4</f>
        <v>-1.3465548357002227E-2</v>
      </c>
      <c r="D115" s="10">
        <f>'Rebalancing Simulation'!E115-Deviation!$D$5</f>
        <v>-8.9602523463544539E-3</v>
      </c>
      <c r="E115" s="10">
        <f>'Rebalancing Simulation'!F115-Deviation!$D$6</f>
        <v>-9.6873704753416431E-2</v>
      </c>
      <c r="F115" s="10">
        <f>'Rebalancing Simulation'!G115-Deviation!$D$7</f>
        <v>-4.1358340661450978E-2</v>
      </c>
      <c r="G115" s="10">
        <f>'Rebalancing Simulation'!H115-Deviation!$D$8</f>
        <v>-2.8788840174627919E-2</v>
      </c>
      <c r="H115" s="10">
        <f>'Rebalancing Simulation'!I115-Deviation!$D$9</f>
        <v>-1.7953379400559535E-2</v>
      </c>
      <c r="I115">
        <f t="shared" si="1"/>
        <v>1</v>
      </c>
    </row>
    <row r="116" spans="1:9" x14ac:dyDescent="0.2">
      <c r="A116" s="1">
        <f>'Rebalancing Simulation'!A116</f>
        <v>45504</v>
      </c>
      <c r="B116" s="10">
        <f>'Rebalancing Simulation'!C116 -$D$3</f>
        <v>0.20181546797784294</v>
      </c>
      <c r="C116" s="10">
        <f>'Rebalancing Simulation'!D116-Deviation!$D$4</f>
        <v>-1.3124152934770289E-2</v>
      </c>
      <c r="D116" s="10">
        <f>'Rebalancing Simulation'!E116-Deviation!$D$5</f>
        <v>-9.5579868369656817E-3</v>
      </c>
      <c r="E116" s="10">
        <f>'Rebalancing Simulation'!F116-Deviation!$D$6</f>
        <v>-9.662341219424983E-2</v>
      </c>
      <c r="F116" s="10">
        <f>'Rebalancing Simulation'!G116-Deviation!$D$7</f>
        <v>-4.1391517301595931E-2</v>
      </c>
      <c r="G116" s="10">
        <f>'Rebalancing Simulation'!H116-Deviation!$D$8</f>
        <v>-2.4889504380125438E-2</v>
      </c>
      <c r="H116" s="10">
        <f>'Rebalancing Simulation'!I116-Deviation!$D$9</f>
        <v>-1.622889433013594E-2</v>
      </c>
      <c r="I116">
        <f t="shared" si="1"/>
        <v>1</v>
      </c>
    </row>
    <row r="117" spans="1:9" x14ac:dyDescent="0.2">
      <c r="A117" s="1">
        <f>'Rebalancing Simulation'!A117</f>
        <v>45535</v>
      </c>
      <c r="B117" s="10">
        <f>'Rebalancing Simulation'!C117 -$D$3</f>
        <v>0.20040813523318352</v>
      </c>
      <c r="C117" s="10">
        <f>'Rebalancing Simulation'!D117-Deviation!$D$4</f>
        <v>-1.2276133075463769E-2</v>
      </c>
      <c r="D117" s="10">
        <f>'Rebalancing Simulation'!E117-Deviation!$D$5</f>
        <v>-1.0206910044293374E-2</v>
      </c>
      <c r="E117" s="10">
        <f>'Rebalancing Simulation'!F117-Deviation!$D$6</f>
        <v>-9.8218624010494915E-2</v>
      </c>
      <c r="F117" s="10">
        <f>'Rebalancing Simulation'!G117-Deviation!$D$7</f>
        <v>-4.2030282877772537E-2</v>
      </c>
      <c r="G117" s="10">
        <f>'Rebalancing Simulation'!H117-Deviation!$D$8</f>
        <v>-2.298939398238041E-2</v>
      </c>
      <c r="H117" s="10">
        <f>'Rebalancing Simulation'!I117-Deviation!$D$9</f>
        <v>-1.468679124277833E-2</v>
      </c>
      <c r="I117">
        <f t="shared" si="1"/>
        <v>1</v>
      </c>
    </row>
    <row r="118" spans="1:9" x14ac:dyDescent="0.2">
      <c r="A118" s="1">
        <f>'Rebalancing Simulation'!A118</f>
        <v>45565</v>
      </c>
      <c r="B118" s="10">
        <f>'Rebalancing Simulation'!C118 -$D$3</f>
        <v>0.20032501523513274</v>
      </c>
      <c r="C118" s="10">
        <f>'Rebalancing Simulation'!D118-Deviation!$D$4</f>
        <v>-1.4075706063294197E-2</v>
      </c>
      <c r="D118" s="10">
        <f>'Rebalancing Simulation'!E118-Deviation!$D$5</f>
        <v>-8.794885913226462E-3</v>
      </c>
      <c r="E118" s="10">
        <f>'Rebalancing Simulation'!F118-Deviation!$D$6</f>
        <v>-9.9251163560501607E-2</v>
      </c>
      <c r="F118" s="10">
        <f>'Rebalancing Simulation'!G118-Deviation!$D$7</f>
        <v>-4.2328914995843299E-2</v>
      </c>
      <c r="G118" s="10">
        <f>'Rebalancing Simulation'!H118-Deviation!$D$8</f>
        <v>-2.2771005433800881E-2</v>
      </c>
      <c r="H118" s="10">
        <f>'Rebalancing Simulation'!I118-Deviation!$D$9</f>
        <v>-1.310333926846631E-2</v>
      </c>
      <c r="I118">
        <f t="shared" si="1"/>
        <v>1</v>
      </c>
    </row>
    <row r="119" spans="1:9" x14ac:dyDescent="0.2">
      <c r="A119" s="1">
        <f>'Rebalancing Simulation'!A119</f>
        <v>45596</v>
      </c>
      <c r="B119" s="10">
        <f>'Rebalancing Simulation'!C119 -$D$3</f>
        <v>0.20719094357642404</v>
      </c>
      <c r="C119" s="10">
        <f>'Rebalancing Simulation'!D119-Deviation!$D$4</f>
        <v>-1.8300577899293319E-2</v>
      </c>
      <c r="D119" s="10">
        <f>'Rebalancing Simulation'!E119-Deviation!$D$5</f>
        <v>-9.1489097188691484E-3</v>
      </c>
      <c r="E119" s="10">
        <f>'Rebalancing Simulation'!F119-Deviation!$D$6</f>
        <v>-0.10072948959911641</v>
      </c>
      <c r="F119" s="10">
        <f>'Rebalancing Simulation'!G119-Deviation!$D$7</f>
        <v>-4.309410651826797E-2</v>
      </c>
      <c r="G119" s="10">
        <f>'Rebalancing Simulation'!H119-Deviation!$D$8</f>
        <v>-2.3657457023473674E-2</v>
      </c>
      <c r="H119" s="10">
        <f>'Rebalancing Simulation'!I119-Deviation!$D$9</f>
        <v>-1.2260402817403523E-2</v>
      </c>
      <c r="I119">
        <f t="shared" si="1"/>
        <v>1</v>
      </c>
    </row>
    <row r="120" spans="1:9" x14ac:dyDescent="0.2">
      <c r="A120" s="1">
        <f>'Rebalancing Simulation'!A120</f>
        <v>45626</v>
      </c>
      <c r="B120" s="10">
        <f>'Rebalancing Simulation'!C120 -$D$3</f>
        <v>0.21840157194457926</v>
      </c>
      <c r="C120" s="10">
        <f>'Rebalancing Simulation'!D120-Deviation!$D$4</f>
        <v>-2.3367122233727888E-2</v>
      </c>
      <c r="D120" s="10">
        <f>'Rebalancing Simulation'!E120-Deviation!$D$5</f>
        <v>-1.1651088604921554E-2</v>
      </c>
      <c r="E120" s="10">
        <f>'Rebalancing Simulation'!F120-Deviation!$D$6</f>
        <v>-0.10356755551815112</v>
      </c>
      <c r="F120" s="10">
        <f>'Rebalancing Simulation'!G120-Deviation!$D$7</f>
        <v>-4.4324433053640339E-2</v>
      </c>
      <c r="G120" s="10">
        <f>'Rebalancing Simulation'!H120-Deviation!$D$8</f>
        <v>-2.3225648833444273E-2</v>
      </c>
      <c r="H120" s="10">
        <f>'Rebalancing Simulation'!I120-Deviation!$D$9</f>
        <v>-1.2265723700694092E-2</v>
      </c>
      <c r="I120">
        <f t="shared" si="1"/>
        <v>1</v>
      </c>
    </row>
    <row r="121" spans="1:9" x14ac:dyDescent="0.2">
      <c r="A121" s="1">
        <f>'Rebalancing Simulation'!A121</f>
        <v>45657</v>
      </c>
      <c r="B121" s="10">
        <f>'Rebalancing Simulation'!C121 -$D$3</f>
        <v>0.22463526760246483</v>
      </c>
      <c r="C121" s="10">
        <f>'Rebalancing Simulation'!D121-Deviation!$D$4</f>
        <v>-2.4271128777554163E-2</v>
      </c>
      <c r="D121" s="10">
        <f>'Rebalancing Simulation'!E121-Deviation!$D$5</f>
        <v>-1.0907204228198374E-2</v>
      </c>
      <c r="E121" s="10">
        <f>'Rebalancing Simulation'!F121-Deviation!$D$6</f>
        <v>-0.10287965765236294</v>
      </c>
      <c r="F121" s="10">
        <f>'Rebalancing Simulation'!G121-Deviation!$D$7</f>
        <v>-4.4202952271602265E-2</v>
      </c>
      <c r="G121" s="10">
        <f>'Rebalancing Simulation'!H121-Deviation!$D$8</f>
        <v>-2.7750764913511319E-2</v>
      </c>
      <c r="H121" s="10">
        <f>'Rebalancing Simulation'!I121-Deviation!$D$9</f>
        <v>-1.4623559759235683E-2</v>
      </c>
      <c r="I121">
        <f t="shared" si="1"/>
        <v>1</v>
      </c>
    </row>
    <row r="122" spans="1:9" x14ac:dyDescent="0.2">
      <c r="A122" s="1">
        <f>'Rebalancing Simulation'!A122</f>
        <v>45688</v>
      </c>
      <c r="B122" s="10">
        <f>'Rebalancing Simulation'!C122 -$D$3</f>
        <v>0.22580142380952667</v>
      </c>
      <c r="C122" s="10">
        <f>'Rebalancing Simulation'!D122-Deviation!$D$4</f>
        <v>-2.1397460046717581E-2</v>
      </c>
      <c r="D122" s="10">
        <f>'Rebalancing Simulation'!E122-Deviation!$D$5</f>
        <v>-1.1024360736988779E-2</v>
      </c>
      <c r="E122" s="10">
        <f>'Rebalancing Simulation'!F122-Deviation!$D$6</f>
        <v>-0.10462623547629372</v>
      </c>
      <c r="F122" s="10">
        <f>'Rebalancing Simulation'!G122-Deviation!$D$7</f>
        <v>-4.5226123486800329E-2</v>
      </c>
      <c r="G122" s="10">
        <f>'Rebalancing Simulation'!H122-Deviation!$D$8</f>
        <v>-2.8321187688433683E-2</v>
      </c>
      <c r="H122" s="10">
        <f>'Rebalancing Simulation'!I122-Deviation!$D$9</f>
        <v>-1.5206056374292481E-2</v>
      </c>
      <c r="I122">
        <f t="shared" si="1"/>
        <v>1</v>
      </c>
    </row>
    <row r="123" spans="1:9" x14ac:dyDescent="0.2">
      <c r="A123" s="1">
        <f>'Rebalancing Simulation'!A123</f>
        <v>45716</v>
      </c>
      <c r="B123" s="10">
        <f>'Rebalancing Simulation'!C123 -$D$3</f>
        <v>0.21699416432461954</v>
      </c>
      <c r="C123" s="10">
        <f>'Rebalancing Simulation'!D123-Deviation!$D$4</f>
        <v>-1.8142954544252049E-2</v>
      </c>
      <c r="D123" s="10">
        <f>'Rebalancing Simulation'!E123-Deviation!$D$5</f>
        <v>-1.0739047720897454E-2</v>
      </c>
      <c r="E123" s="10">
        <f>'Rebalancing Simulation'!F123-Deviation!$D$6</f>
        <v>-0.10266900042308418</v>
      </c>
      <c r="F123" s="10">
        <f>'Rebalancing Simulation'!G123-Deviation!$D$7</f>
        <v>-4.4359454419885945E-2</v>
      </c>
      <c r="G123" s="10">
        <f>'Rebalancing Simulation'!H123-Deviation!$D$8</f>
        <v>-2.5974304206126134E-2</v>
      </c>
      <c r="H123" s="10">
        <f>'Rebalancing Simulation'!I123-Deviation!$D$9</f>
        <v>-1.5109403010373779E-2</v>
      </c>
      <c r="I123">
        <f t="shared" si="1"/>
        <v>1</v>
      </c>
    </row>
    <row r="124" spans="1:9" x14ac:dyDescent="0.2">
      <c r="A124" s="1">
        <f>'Rebalancing Simulation'!A124</f>
        <v>45747</v>
      </c>
      <c r="B124" s="10">
        <f>'Rebalancing Simulation'!C124 -$D$3</f>
        <v>0.20291129941494174</v>
      </c>
      <c r="C124" s="10">
        <f>'Rebalancing Simulation'!D124-Deviation!$D$4</f>
        <v>-1.3915944897425092E-2</v>
      </c>
      <c r="D124" s="10">
        <f>'Rebalancing Simulation'!E124-Deviation!$D$5</f>
        <v>-9.0961578363496567E-3</v>
      </c>
      <c r="E124" s="10">
        <f>'Rebalancing Simulation'!F124-Deviation!$D$6</f>
        <v>-9.968057448213366E-2</v>
      </c>
      <c r="F124" s="10">
        <f>'Rebalancing Simulation'!G124-Deviation!$D$7</f>
        <v>-4.3162247732488342E-2</v>
      </c>
      <c r="G124" s="10">
        <f>'Rebalancing Simulation'!H124-Deviation!$D$8</f>
        <v>-2.6470180470227034E-2</v>
      </c>
      <c r="H124" s="10">
        <f>'Rebalancing Simulation'!I124-Deviation!$D$9</f>
        <v>-1.0586193996317897E-2</v>
      </c>
      <c r="I124">
        <f t="shared" si="1"/>
        <v>1</v>
      </c>
    </row>
    <row r="125" spans="1:9" x14ac:dyDescent="0.2">
      <c r="A125" s="1">
        <f>'Rebalancing Simulation'!A125</f>
        <v>45777</v>
      </c>
      <c r="B125" s="10">
        <f>'Rebalancing Simulation'!C125 -$D$3</f>
        <v>0.19750243601505424</v>
      </c>
      <c r="C125" s="10">
        <f>'Rebalancing Simulation'!D125-Deviation!$D$4</f>
        <v>-9.1842967172221235E-3</v>
      </c>
      <c r="D125" s="10">
        <f>'Rebalancing Simulation'!E125-Deviation!$D$5</f>
        <v>-9.1261432337595913E-3</v>
      </c>
      <c r="E125" s="10">
        <f>'Rebalancing Simulation'!F125-Deviation!$D$6</f>
        <v>-9.915678500749589E-2</v>
      </c>
      <c r="F125" s="10">
        <f>'Rebalancing Simulation'!G125-Deviation!$D$7</f>
        <v>-4.3652290412240578E-2</v>
      </c>
      <c r="G125" s="10">
        <f>'Rebalancing Simulation'!H125-Deviation!$D$8</f>
        <v>-2.8415848957926287E-2</v>
      </c>
      <c r="H125" s="10">
        <f>'Rebalancing Simulation'!I125-Deviation!$D$9</f>
        <v>-7.9670716864095603E-3</v>
      </c>
      <c r="I125">
        <f t="shared" si="1"/>
        <v>1</v>
      </c>
    </row>
    <row r="126" spans="1:9" x14ac:dyDescent="0.2">
      <c r="A126" s="1">
        <f>'Rebalancing Simulation'!A126</f>
        <v>45808</v>
      </c>
      <c r="B126" s="10">
        <f>'Rebalancing Simulation'!C126 -$D$3</f>
        <v>0.20695214891357977</v>
      </c>
      <c r="C126" s="10">
        <f>'Rebalancing Simulation'!D126-Deviation!$D$4</f>
        <v>-8.5264916796528589E-3</v>
      </c>
      <c r="D126" s="10">
        <f>'Rebalancing Simulation'!E126-Deviation!$D$5</f>
        <v>-9.2364094627395629E-3</v>
      </c>
      <c r="E126" s="10">
        <f>'Rebalancing Simulation'!F126-Deviation!$D$6</f>
        <v>-0.10482691366862112</v>
      </c>
      <c r="F126" s="10">
        <f>'Rebalancing Simulation'!G126-Deviation!$D$7</f>
        <v>-4.6082133497410048E-2</v>
      </c>
      <c r="G126" s="10">
        <f>'Rebalancing Simulation'!H126-Deviation!$D$8</f>
        <v>-3.0600037705155653E-2</v>
      </c>
      <c r="H126" s="10">
        <f>'Rebalancing Simulation'!I126-Deviation!$D$9</f>
        <v>-7.6801629000005783E-3</v>
      </c>
      <c r="I126">
        <f t="shared" si="1"/>
        <v>1</v>
      </c>
    </row>
    <row r="127" spans="1:9" x14ac:dyDescent="0.2">
      <c r="A127" s="1">
        <f>'Rebalancing Simulation'!A127</f>
        <v>45838</v>
      </c>
      <c r="B127" s="10">
        <f>'Rebalancing Simulation'!C127 -$D$3</f>
        <v>0.21591371271748599</v>
      </c>
      <c r="C127" s="10">
        <f>'Rebalancing Simulation'!D127-Deviation!$D$4</f>
        <v>-1.1760547295569329E-2</v>
      </c>
      <c r="D127" s="10">
        <f>'Rebalancing Simulation'!E127-Deviation!$D$5</f>
        <v>-8.0620409470990306E-3</v>
      </c>
      <c r="E127" s="10">
        <f>'Rebalancing Simulation'!F127-Deviation!$D$6</f>
        <v>-0.10643356846411398</v>
      </c>
      <c r="F127" s="10">
        <f>'Rebalancing Simulation'!G127-Deviation!$D$7</f>
        <v>-4.6762848632617864E-2</v>
      </c>
      <c r="G127" s="10">
        <f>'Rebalancing Simulation'!H127-Deviation!$D$8</f>
        <v>-3.2822625548828768E-2</v>
      </c>
      <c r="H127" s="10">
        <f>'Rebalancing Simulation'!I127-Deviation!$D$9</f>
        <v>-1.0072081829256965E-2</v>
      </c>
      <c r="I127">
        <f t="shared" si="1"/>
        <v>1</v>
      </c>
    </row>
    <row r="128" spans="1:9" x14ac:dyDescent="0.2">
      <c r="A128" s="1">
        <f>'Rebalancing Simulation'!A128</f>
        <v>45869</v>
      </c>
      <c r="B128" s="10">
        <f>'Rebalancing Simulation'!C128 -$D$3</f>
        <v>0.2235791831440968</v>
      </c>
      <c r="C128" s="10">
        <f>'Rebalancing Simulation'!D128-Deviation!$D$4</f>
        <v>-1.5733805609284335E-2</v>
      </c>
      <c r="D128" s="10">
        <f>'Rebalancing Simulation'!E128-Deviation!$D$5</f>
        <v>-8.1211283054050537E-3</v>
      </c>
      <c r="E128" s="10">
        <f>'Rebalancing Simulation'!F128-Deviation!$D$6</f>
        <v>-0.10802430172888705</v>
      </c>
      <c r="F128" s="10">
        <f>'Rebalancing Simulation'!G128-Deviation!$D$7</f>
        <v>-4.7429090671354895E-2</v>
      </c>
      <c r="G128" s="10">
        <f>'Rebalancing Simulation'!H128-Deviation!$D$8</f>
        <v>-3.3299472737723435E-2</v>
      </c>
      <c r="H128" s="10">
        <f>'Rebalancing Simulation'!I128-Deviation!$D$9</f>
        <v>-1.0971384091442327E-2</v>
      </c>
      <c r="I128">
        <f t="shared" si="1"/>
        <v>1</v>
      </c>
    </row>
    <row r="129" spans="1:9" x14ac:dyDescent="0.2">
      <c r="A129" s="1">
        <f>'Rebalancing Simulation'!A129</f>
        <v>45900</v>
      </c>
      <c r="B129" s="10">
        <f>'Rebalancing Simulation'!C129 -$D$3</f>
        <v>0.22194374373352072</v>
      </c>
      <c r="C129" s="10">
        <f>'Rebalancing Simulation'!D129-Deviation!$D$4</f>
        <v>-1.2910080694386289E-2</v>
      </c>
      <c r="D129" s="10">
        <f>'Rebalancing Simulation'!E129-Deviation!$D$5</f>
        <v>-7.9962018551676811E-3</v>
      </c>
      <c r="E129" s="10">
        <f>'Rebalancing Simulation'!F129-Deviation!$D$6</f>
        <v>-0.10897175618380868</v>
      </c>
      <c r="F129" s="10">
        <f>'Rebalancing Simulation'!G129-Deviation!$D$7</f>
        <v>-4.8322289129431796E-2</v>
      </c>
      <c r="G129" s="10">
        <f>'Rebalancing Simulation'!H129-Deviation!$D$8</f>
        <v>-3.2578885731744653E-2</v>
      </c>
      <c r="H129" s="10">
        <f>'Rebalancing Simulation'!I129-Deviation!$D$9</f>
        <v>-1.1164530138981638E-2</v>
      </c>
      <c r="I129">
        <f t="shared" si="1"/>
        <v>1</v>
      </c>
    </row>
    <row r="130" spans="1:9" x14ac:dyDescent="0.2">
      <c r="A130" s="1">
        <f>'Rebalancing Simulation'!A130</f>
        <v>45930</v>
      </c>
      <c r="B130" s="10">
        <f>'Rebalancing Simulation'!C130 -$D$3</f>
        <v>0.226137362918785</v>
      </c>
      <c r="C130" s="10">
        <f>'Rebalancing Simulation'!D130-Deviation!$D$4</f>
        <v>-1.3427279528425373E-2</v>
      </c>
      <c r="D130" s="10">
        <f>'Rebalancing Simulation'!E130-Deviation!$D$5</f>
        <v>-6.0908750377809545E-3</v>
      </c>
      <c r="E130" s="10">
        <f>'Rebalancing Simulation'!F130-Deviation!$D$6</f>
        <v>-0.11086436353139549</v>
      </c>
      <c r="F130" s="10">
        <f>'Rebalancing Simulation'!G130-Deviation!$D$7</f>
        <v>-4.8792194385948714E-2</v>
      </c>
      <c r="G130" s="10">
        <f>'Rebalancing Simulation'!H130-Deviation!$D$8</f>
        <v>-3.4777853846947787E-2</v>
      </c>
      <c r="H130" s="10">
        <f>'Rebalancing Simulation'!I130-Deviation!$D$9</f>
        <v>-1.2184796588286653E-2</v>
      </c>
      <c r="I130">
        <f t="shared" si="1"/>
        <v>1</v>
      </c>
    </row>
    <row r="131" spans="1:9" x14ac:dyDescent="0.2">
      <c r="A131" s="1">
        <f>'Rebalancing Simulation'!A131</f>
        <v>45961</v>
      </c>
      <c r="B131" s="10">
        <f>'Rebalancing Simulation'!C131 -$D$3</f>
        <v>0.23112548846573683</v>
      </c>
      <c r="C131" s="10">
        <f>'Rebalancing Simulation'!D131-Deviation!$D$4</f>
        <v>-1.3727111995667007E-2</v>
      </c>
      <c r="D131" s="10">
        <f>'Rebalancing Simulation'!E131-Deviation!$D$5</f>
        <v>-5.1661880414821393E-3</v>
      </c>
      <c r="E131" s="10">
        <f>'Rebalancing Simulation'!F131-Deviation!$D$6</f>
        <v>-0.11175893386330631</v>
      </c>
      <c r="F131" s="10">
        <f>'Rebalancing Simulation'!G131-Deviation!$D$7</f>
        <v>-4.9618962004053115E-2</v>
      </c>
      <c r="G131" s="10">
        <f>'Rebalancing Simulation'!H131-Deviation!$D$8</f>
        <v>-3.72681138443271E-2</v>
      </c>
      <c r="H131" s="10">
        <f>'Rebalancing Simulation'!I131-Deviation!$D$9</f>
        <v>-1.3586178716901071E-2</v>
      </c>
      <c r="I131">
        <f t="shared" si="1"/>
        <v>1</v>
      </c>
    </row>
    <row r="132" spans="1:9" x14ac:dyDescent="0.2">
      <c r="A132" s="1">
        <f>'Rebalancing Simulation'!A132</f>
        <v>45991</v>
      </c>
      <c r="B132" s="10">
        <f>'Rebalancing Simulation'!C132 -$D$3</f>
        <v>0.22868983638133183</v>
      </c>
      <c r="C132" s="10">
        <f>'Rebalancing Simulation'!D132-Deviation!$D$4</f>
        <v>-1.3613081543767808E-2</v>
      </c>
      <c r="D132" s="10">
        <f>'Rebalancing Simulation'!E132-Deviation!$D$5</f>
        <v>-6.2479833980296218E-3</v>
      </c>
      <c r="E132" s="10">
        <f>'Rebalancing Simulation'!F132-Deviation!$D$6</f>
        <v>-0.1117461791993027</v>
      </c>
      <c r="F132" s="10">
        <f>'Rebalancing Simulation'!G132-Deviation!$D$7</f>
        <v>-4.9664108133365595E-2</v>
      </c>
      <c r="G132" s="10">
        <f>'Rebalancing Simulation'!H132-Deviation!$D$8</f>
        <v>-3.6167821853811177E-2</v>
      </c>
      <c r="H132" s="10">
        <f>'Rebalancing Simulation'!I132-Deviation!$D$9</f>
        <v>-1.1250662253054933E-2</v>
      </c>
      <c r="I132">
        <f t="shared" si="1"/>
        <v>1</v>
      </c>
    </row>
    <row r="133" spans="1:9" x14ac:dyDescent="0.2">
      <c r="A133" s="1">
        <f>'Rebalancing Simulation'!A133</f>
        <v>46022</v>
      </c>
      <c r="B133" s="10">
        <f>'Rebalancing Simulation'!C133 -$D$3</f>
        <v>0.23072005608364904</v>
      </c>
      <c r="C133" s="10">
        <f>'Rebalancing Simulation'!D133-Deviation!$D$4</f>
        <v>-1.1583440858270594E-2</v>
      </c>
      <c r="D133" s="10">
        <f>'Rebalancing Simulation'!E133-Deviation!$D$5</f>
        <v>-5.6692826850331529E-3</v>
      </c>
      <c r="E133" s="10">
        <f>'Rebalancing Simulation'!F133-Deviation!$D$6</f>
        <v>-0.11243650543253572</v>
      </c>
      <c r="F133" s="10">
        <f>'Rebalancing Simulation'!G133-Deviation!$D$7</f>
        <v>-5.0117884220590041E-2</v>
      </c>
      <c r="G133" s="10">
        <f>'Rebalancing Simulation'!H133-Deviation!$D$8</f>
        <v>-3.7788226528661831E-2</v>
      </c>
      <c r="H133" s="10">
        <f>'Rebalancing Simulation'!I133-Deviation!$D$9</f>
        <v>-1.3124716358557761E-2</v>
      </c>
      <c r="I133">
        <f t="shared" si="1"/>
        <v>1</v>
      </c>
    </row>
    <row r="134" spans="1:9" x14ac:dyDescent="0.2">
      <c r="A134" s="1">
        <f>'Rebalancing Simulation'!A134</f>
        <v>46053</v>
      </c>
      <c r="B134" s="10">
        <f>'Rebalancing Simulation'!C134 -$D$3</f>
        <v>0.22587766017730498</v>
      </c>
      <c r="C134" s="10">
        <f>'Rebalancing Simulation'!D134-Deviation!$D$4</f>
        <v>-8.2090702297504814E-3</v>
      </c>
      <c r="D134" s="10">
        <f>'Rebalancing Simulation'!E134-Deviation!$D$5</f>
        <v>-3.2382335588457892E-3</v>
      </c>
      <c r="E134" s="10">
        <f>'Rebalancing Simulation'!F134-Deviation!$D$6</f>
        <v>-0.11469122050414257</v>
      </c>
      <c r="F134" s="10">
        <f>'Rebalancing Simulation'!G134-Deviation!$D$7</f>
        <v>-5.1122906077679789E-2</v>
      </c>
      <c r="G134" s="10">
        <f>'Rebalancing Simulation'!H134-Deviation!$D$8</f>
        <v>-3.766533655194295E-2</v>
      </c>
      <c r="H134" s="10">
        <f>'Rebalancing Simulation'!I134-Deviation!$D$9</f>
        <v>-1.0950893254943458E-2</v>
      </c>
      <c r="I134">
        <f t="shared" si="1"/>
        <v>1</v>
      </c>
    </row>
    <row r="135" spans="1:9" x14ac:dyDescent="0.2">
      <c r="A135" s="1">
        <f>'Rebalancing Simulation'!A135</f>
        <v>46081</v>
      </c>
      <c r="B135" s="10">
        <f>'Rebalancing Simulation'!C135 -$D$3</f>
        <v>0.21378407744900502</v>
      </c>
      <c r="C135" s="10">
        <f>'Rebalancing Simulation'!D135-Deviation!$D$4</f>
        <v>-4.5059223808282256E-3</v>
      </c>
      <c r="D135" s="10">
        <f>'Rebalancing Simulation'!E135-Deviation!$D$5</f>
        <v>-2.0430911398012855E-3</v>
      </c>
      <c r="E135" s="10">
        <f>'Rebalancing Simulation'!F135-Deviation!$D$6</f>
        <v>-0.11426489002141872</v>
      </c>
      <c r="F135" s="10">
        <f>'Rebalancing Simulation'!G135-Deviation!$D$7</f>
        <v>-5.1087615793006302E-2</v>
      </c>
      <c r="G135" s="10">
        <f>'Rebalancing Simulation'!H135-Deviation!$D$8</f>
        <v>-3.560481354379344E-2</v>
      </c>
      <c r="H135" s="10">
        <f>'Rebalancing Simulation'!I135-Deviation!$D$9</f>
        <v>-6.2777445701570761E-3</v>
      </c>
      <c r="I135">
        <f t="shared" si="1"/>
        <v>1</v>
      </c>
    </row>
    <row r="136" spans="1:9" x14ac:dyDescent="0.2">
      <c r="A136" s="1"/>
    </row>
    <row r="137" spans="1:9" x14ac:dyDescent="0.2">
      <c r="A137" s="1"/>
    </row>
    <row r="138" spans="1:9" x14ac:dyDescent="0.2">
      <c r="A138" s="1"/>
    </row>
    <row r="139" spans="1:9" x14ac:dyDescent="0.2">
      <c r="A139" s="1"/>
    </row>
    <row r="140" spans="1:9" x14ac:dyDescent="0.2">
      <c r="A140" s="1"/>
    </row>
    <row r="141" spans="1:9" x14ac:dyDescent="0.2">
      <c r="A141" s="1"/>
    </row>
    <row r="142" spans="1:9" x14ac:dyDescent="0.2">
      <c r="A14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EBA70-3732-C94F-8651-29DE5A83257B}">
  <dimension ref="A1:O125"/>
  <sheetViews>
    <sheetView topLeftCell="A59" zoomScale="125" zoomScaleNormal="103" workbookViewId="0">
      <selection activeCell="H16" sqref="H16"/>
    </sheetView>
  </sheetViews>
  <sheetFormatPr baseColWidth="10" defaultRowHeight="16" x14ac:dyDescent="0.2"/>
  <cols>
    <col min="9" max="9" width="13.83203125" bestFit="1" customWidth="1"/>
    <col min="10" max="12" width="14.33203125" customWidth="1"/>
  </cols>
  <sheetData>
    <row r="1" spans="1:15" x14ac:dyDescent="0.2">
      <c r="A1" s="4" t="s">
        <v>33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34</v>
      </c>
      <c r="J1" s="11" t="s">
        <v>35</v>
      </c>
      <c r="K1" s="11" t="s">
        <v>40</v>
      </c>
      <c r="L1" s="11" t="s">
        <v>41</v>
      </c>
    </row>
    <row r="2" spans="1:15" x14ac:dyDescent="0.2">
      <c r="A2" s="1">
        <v>42429</v>
      </c>
      <c r="B2" s="4"/>
      <c r="C2" s="4"/>
      <c r="D2" s="4"/>
      <c r="E2" s="4"/>
      <c r="F2" s="4"/>
      <c r="G2" s="4"/>
      <c r="H2" s="4"/>
      <c r="I2" s="4"/>
      <c r="M2" s="9" t="s">
        <v>28</v>
      </c>
      <c r="N2" t="s">
        <v>2</v>
      </c>
      <c r="O2" s="7">
        <v>0.3</v>
      </c>
    </row>
    <row r="3" spans="1:15" x14ac:dyDescent="0.2">
      <c r="A3" s="1">
        <v>42460</v>
      </c>
      <c r="B3" s="10">
        <f>('Raw Data_Prices'!B3/'Raw Data_Prices'!B2)-1</f>
        <v>6.7387888311374322E-2</v>
      </c>
      <c r="C3" s="10">
        <f>('Raw Data_Prices'!C3/'Raw Data_Prices'!C2)-1</f>
        <v>6.5713008493518021E-2</v>
      </c>
      <c r="D3" s="10">
        <f>('Raw Data_Prices'!D3/'Raw Data_Prices'!D2)-1</f>
        <v>0.12960980014543599</v>
      </c>
      <c r="E3" s="10">
        <f>('Raw Data_Prices'!E3/'Raw Data_Prices'!E2)-1</f>
        <v>-3.9733783649553711E-4</v>
      </c>
      <c r="F3" s="10">
        <f>('Raw Data_Prices'!F3/'Raw Data_Prices'!F2)-1</f>
        <v>3.5820284515402756E-2</v>
      </c>
      <c r="G3" s="10">
        <f>('Raw Data_Prices'!G3/'Raw Data_Prices'!G2)-1</f>
        <v>0.10457627118644064</v>
      </c>
      <c r="H3" s="10">
        <f>('Raw Data_Prices'!H3/'Raw Data_Prices'!H2)-1</f>
        <v>8.6134214041659218E-2</v>
      </c>
      <c r="I3" s="10" cm="1">
        <f t="array" ref="I3">SUMPRODUCT(B3:H3,TRANSPOSE($O$2:$O$8))</f>
        <v>5.9127417181762953E-2</v>
      </c>
      <c r="J3" s="12">
        <v>100000000</v>
      </c>
      <c r="K3" s="12">
        <f>J3</f>
        <v>100000000</v>
      </c>
      <c r="L3" s="10">
        <f>(J3/K3)-1</f>
        <v>0</v>
      </c>
      <c r="M3" s="9" t="s">
        <v>14</v>
      </c>
      <c r="N3" t="s">
        <v>3</v>
      </c>
      <c r="O3" s="7">
        <v>0.15</v>
      </c>
    </row>
    <row r="4" spans="1:15" x14ac:dyDescent="0.2">
      <c r="A4" s="1">
        <v>42490</v>
      </c>
      <c r="B4" s="10">
        <f>('Raw Data_Prices'!B4/'Raw Data_Prices'!B3)-1</f>
        <v>3.7936696676290627E-3</v>
      </c>
      <c r="C4" s="10">
        <f>('Raw Data_Prices'!C4/'Raw Data_Prices'!C3)-1</f>
        <v>2.2231543624161132E-2</v>
      </c>
      <c r="D4" s="10">
        <f>('Raw Data_Prices'!D4/'Raw Data_Prices'!D3)-1</f>
        <v>4.6618397642905762E-3</v>
      </c>
      <c r="E4" s="10">
        <f>('Raw Data_Prices'!E4/'Raw Data_Prices'!E3)-1</f>
        <v>-1.6893570505813749E-3</v>
      </c>
      <c r="F4" s="10">
        <f>('Raw Data_Prices'!F4/'Raw Data_Prices'!F3)-1</f>
        <v>1.5907519019859651E-2</v>
      </c>
      <c r="G4" s="10">
        <f>('Raw Data_Prices'!G4/'Raw Data_Prices'!G3)-1</f>
        <v>-2.3477059996931171E-2</v>
      </c>
      <c r="H4" s="10">
        <f>('Raw Data_Prices'!H4/'Raw Data_Prices'!H3)-1</f>
        <v>2.2493471979728286E-2</v>
      </c>
      <c r="I4" s="10" cm="1">
        <f t="array" ref="I4">SUMPRODUCT(B4:H4,TRANSPOSE($O$2:$O$8))</f>
        <v>5.8604461222768189E-3</v>
      </c>
      <c r="J4" s="12">
        <f t="shared" ref="J4:J35" si="0">J3*(1+I4)</f>
        <v>100586044.61222769</v>
      </c>
      <c r="K4" s="12">
        <f>MAX(K3,J4)</f>
        <v>100586044.61222769</v>
      </c>
      <c r="L4" s="10">
        <f t="shared" ref="L4:L67" si="1">(J4/K4)-1</f>
        <v>0</v>
      </c>
      <c r="M4" s="9" t="s">
        <v>29</v>
      </c>
      <c r="N4" t="s">
        <v>4</v>
      </c>
      <c r="O4" s="7">
        <v>0.05</v>
      </c>
    </row>
    <row r="5" spans="1:15" x14ac:dyDescent="0.2">
      <c r="A5" s="1">
        <v>42521</v>
      </c>
      <c r="B5" s="10">
        <f>('Raw Data_Prices'!B5/'Raw Data_Prices'!B4)-1</f>
        <v>1.7091606498194967E-2</v>
      </c>
      <c r="C5" s="10">
        <f>('Raw Data_Prices'!C5/'Raw Data_Prices'!C4)-1</f>
        <v>-8.2068116536726521E-4</v>
      </c>
      <c r="D5" s="10">
        <f>('Raw Data_Prices'!D5/'Raw Data_Prices'!D4)-1</f>
        <v>-3.7530057492104918E-2</v>
      </c>
      <c r="E5" s="10">
        <f>('Raw Data_Prices'!E5/'Raw Data_Prices'!E4)-1</f>
        <v>-7.9633685048774439E-4</v>
      </c>
      <c r="F5" s="10">
        <f>('Raw Data_Prices'!F5/'Raw Data_Prices'!F4)-1</f>
        <v>-4.960124489398865E-3</v>
      </c>
      <c r="G5" s="10">
        <f>('Raw Data_Prices'!G5/'Raw Data_Prices'!G4)-1</f>
        <v>2.2470144563167649E-2</v>
      </c>
      <c r="H5" s="10">
        <f>('Raw Data_Prices'!H5/'Raw Data_Prices'!H4)-1</f>
        <v>-3.6961593791178249E-3</v>
      </c>
      <c r="I5" s="10" cm="1">
        <f t="array" ref="I5">SUMPRODUCT(B5:H5,TRANSPOSE($O$2:$O$8))</f>
        <v>4.3499955994157008E-3</v>
      </c>
      <c r="J5" s="12">
        <f t="shared" si="0"/>
        <v>101023593.46365352</v>
      </c>
      <c r="K5" s="12">
        <f>MAX(K4,J5)</f>
        <v>101023593.46365352</v>
      </c>
      <c r="L5" s="10">
        <f t="shared" si="1"/>
        <v>0</v>
      </c>
      <c r="M5" s="9" t="s">
        <v>30</v>
      </c>
      <c r="N5" t="s">
        <v>5</v>
      </c>
      <c r="O5" s="7">
        <v>0.2</v>
      </c>
    </row>
    <row r="6" spans="1:15" x14ac:dyDescent="0.2">
      <c r="A6" s="1">
        <v>42551</v>
      </c>
      <c r="B6" s="10">
        <f>('Raw Data_Prices'!B6/'Raw Data_Prices'!B5)-1</f>
        <v>3.4385225445066059E-3</v>
      </c>
      <c r="C6" s="10">
        <f>('Raw Data_Prices'!C6/'Raw Data_Prices'!C5)-1</f>
        <v>-2.4229979466119045E-2</v>
      </c>
      <c r="D6" s="10">
        <f>('Raw Data_Prices'!D6/'Raw Data_Prices'!D5)-1</f>
        <v>4.5625304065052497E-2</v>
      </c>
      <c r="E6" s="10">
        <f>('Raw Data_Prices'!E6/'Raw Data_Prices'!E5)-1</f>
        <v>3.0683403068340276E-2</v>
      </c>
      <c r="F6" s="10">
        <f>('Raw Data_Prices'!F6/'Raw Data_Prices'!F5)-1</f>
        <v>3.0397810575701234E-2</v>
      </c>
      <c r="G6" s="10">
        <f>('Raw Data_Prices'!G6/'Raw Data_Prices'!G5)-1</f>
        <v>6.9309973874289277E-2</v>
      </c>
      <c r="H6" s="10">
        <f>('Raw Data_Prices'!H6/'Raw Data_Prices'!H5)-1</f>
        <v>3.2133009364164966E-2</v>
      </c>
      <c r="I6" s="10" cm="1">
        <f t="array" ref="I6">SUMPRODUCT(B6:H6,TRANSPOSE($O$2:$O$8))</f>
        <v>1.8999085041770357E-2</v>
      </c>
      <c r="J6" s="12">
        <f t="shared" si="0"/>
        <v>102942949.30709471</v>
      </c>
      <c r="K6" s="12">
        <f t="shared" ref="K6:K68" si="2">MAX(K5,J6)</f>
        <v>102942949.30709471</v>
      </c>
      <c r="L6" s="10">
        <f t="shared" si="1"/>
        <v>0</v>
      </c>
      <c r="M6" s="9" t="s">
        <v>31</v>
      </c>
      <c r="N6" t="s">
        <v>6</v>
      </c>
      <c r="O6" s="7">
        <v>0.1</v>
      </c>
    </row>
    <row r="7" spans="1:15" x14ac:dyDescent="0.2">
      <c r="A7" s="1">
        <v>42582</v>
      </c>
      <c r="B7" s="10">
        <f>('Raw Data_Prices'!B7/'Raw Data_Prices'!B6)-1</f>
        <v>3.6533465981318569E-2</v>
      </c>
      <c r="C7" s="10">
        <f>('Raw Data_Prices'!C7/'Raw Data_Prices'!C6)-1</f>
        <v>3.9562289562289354E-2</v>
      </c>
      <c r="D7" s="10">
        <f>('Raw Data_Prices'!D7/'Raw Data_Prices'!D6)-1</f>
        <v>5.3692120397968113E-2</v>
      </c>
      <c r="E7" s="10">
        <f>('Raw Data_Prices'!E7/'Raw Data_Prices'!E6)-1</f>
        <v>2.6097042335202492E-3</v>
      </c>
      <c r="F7" s="10">
        <f>('Raw Data_Prices'!F7/'Raw Data_Prices'!F6)-1</f>
        <v>1.3185353822803947E-2</v>
      </c>
      <c r="G7" s="10">
        <f>('Raw Data_Prices'!G7/'Raw Data_Prices'!G6)-1</f>
        <v>4.2540960045990284E-2</v>
      </c>
      <c r="H7" s="10">
        <f>('Raw Data_Prices'!H7/'Raw Data_Prices'!H6)-1</f>
        <v>2.617750268916752E-2</v>
      </c>
      <c r="I7" s="10" cm="1">
        <f t="array" ref="I7">SUMPRODUCT(B7:H7,TRANSPOSE($O$2:$O$8))</f>
        <v>2.82913117511376E-2</v>
      </c>
      <c r="J7" s="12">
        <f t="shared" si="0"/>
        <v>105855340.37852329</v>
      </c>
      <c r="K7" s="12">
        <f t="shared" si="2"/>
        <v>105855340.37852329</v>
      </c>
      <c r="L7" s="10">
        <f t="shared" si="1"/>
        <v>0</v>
      </c>
      <c r="M7" s="9" t="s">
        <v>32</v>
      </c>
      <c r="N7" t="s">
        <v>7</v>
      </c>
      <c r="O7" s="7">
        <v>0.1</v>
      </c>
    </row>
    <row r="8" spans="1:15" x14ac:dyDescent="0.2">
      <c r="A8" s="1">
        <v>42613</v>
      </c>
      <c r="B8" s="10">
        <f>('Raw Data_Prices'!B8/'Raw Data_Prices'!B7)-1</f>
        <v>1.2264050335928367E-3</v>
      </c>
      <c r="C8" s="10">
        <f>('Raw Data_Prices'!C8/'Raw Data_Prices'!C7)-1</f>
        <v>5.2631578947368585E-3</v>
      </c>
      <c r="D8" s="10">
        <f>('Raw Data_Prices'!D8/'Raw Data_Prices'!D7)-1</f>
        <v>8.9741035856574225E-3</v>
      </c>
      <c r="E8" s="10">
        <f>('Raw Data_Prices'!E8/'Raw Data_Prices'!E7)-1</f>
        <v>-9.9296249879494702E-3</v>
      </c>
      <c r="F8" s="10">
        <f>('Raw Data_Prices'!F8/'Raw Data_Prices'!F7)-1</f>
        <v>1.4979870798614847E-3</v>
      </c>
      <c r="G8" s="10">
        <f>('Raw Data_Prices'!G8/'Raw Data_Prices'!G7)-1</f>
        <v>-3.7634408602150615E-2</v>
      </c>
      <c r="H8" s="10">
        <f>('Raw Data_Prices'!H8/'Raw Data_Prices'!H7)-1</f>
        <v>-1.734443422948162E-2</v>
      </c>
      <c r="I8" s="10" cm="1">
        <f t="array" ref="I8">SUMPRODUCT(B8:H8,TRANSPOSE($O$2:$O$8))</f>
        <v>-5.7279101991957191E-3</v>
      </c>
      <c r="J8" s="12">
        <f t="shared" si="0"/>
        <v>105249010.49472982</v>
      </c>
      <c r="K8" s="12">
        <f t="shared" si="2"/>
        <v>105855340.37852329</v>
      </c>
      <c r="L8" s="10">
        <f t="shared" si="1"/>
        <v>-5.7279101991957182E-3</v>
      </c>
      <c r="M8" s="9" t="s">
        <v>24</v>
      </c>
      <c r="N8" t="s">
        <v>8</v>
      </c>
      <c r="O8" s="7">
        <v>0.1</v>
      </c>
    </row>
    <row r="9" spans="1:15" x14ac:dyDescent="0.2">
      <c r="A9" s="1">
        <v>42643</v>
      </c>
      <c r="B9" s="10">
        <f>('Raw Data_Prices'!B9/'Raw Data_Prices'!B8)-1</f>
        <v>5.3256643766319556E-5</v>
      </c>
      <c r="C9" s="10">
        <f>('Raw Data_Prices'!C9/'Raw Data_Prices'!C8)-1</f>
        <v>1.3693113169553017E-2</v>
      </c>
      <c r="D9" s="10">
        <f>('Raw Data_Prices'!D9/'Raw Data_Prices'!D8)-1</f>
        <v>2.5136309941000912E-2</v>
      </c>
      <c r="E9" s="10">
        <f>('Raw Data_Prices'!E9/'Raw Data_Prices'!E8)-1</f>
        <v>2.2395326192794496E-3</v>
      </c>
      <c r="F9" s="10">
        <f>('Raw Data_Prices'!F9/'Raw Data_Prices'!F8)-1</f>
        <v>-2.6175563242030186E-3</v>
      </c>
      <c r="G9" s="10">
        <f>('Raw Data_Prices'!G9/'Raw Data_Prices'!G8)-1</f>
        <v>-1.833548202263291E-2</v>
      </c>
      <c r="H9" s="10">
        <f>('Raw Data_Prices'!H9/'Raw Data_Prices'!H8)-1</f>
        <v>1.8597805336558748E-2</v>
      </c>
      <c r="I9" s="10" cm="1">
        <f t="array" ref="I9">SUMPRODUCT(B9:H9,TRANSPOSE($O$2:$O$8))</f>
        <v>3.5391426884410666E-3</v>
      </c>
      <c r="J9" s="12">
        <f t="shared" si="0"/>
        <v>105621501.76068789</v>
      </c>
      <c r="K9" s="12">
        <f t="shared" si="2"/>
        <v>105855340.37852329</v>
      </c>
      <c r="L9" s="10">
        <f t="shared" si="1"/>
        <v>-2.2090394022562521E-3</v>
      </c>
      <c r="O9" s="8">
        <f>SUM(O2:O8)</f>
        <v>0.99999999999999989</v>
      </c>
    </row>
    <row r="10" spans="1:15" x14ac:dyDescent="0.2">
      <c r="A10" s="1">
        <v>42674</v>
      </c>
      <c r="B10" s="10">
        <f>('Raw Data_Prices'!B10/'Raw Data_Prices'!B9)-1</f>
        <v>-1.7413995100649782E-2</v>
      </c>
      <c r="C10" s="10">
        <f>('Raw Data_Prices'!C10/'Raw Data_Prices'!C9)-1</f>
        <v>-2.2248708780294058E-2</v>
      </c>
      <c r="D10" s="10">
        <f>('Raw Data_Prices'!D10/'Raw Data_Prices'!D9)-1</f>
        <v>-8.2621283807641221E-3</v>
      </c>
      <c r="E10" s="10">
        <f>('Raw Data_Prices'!E10/'Raw Data_Prices'!E9)-1</f>
        <v>-1.5058777810162405E-2</v>
      </c>
      <c r="F10" s="10">
        <f>('Raw Data_Prices'!F10/'Raw Data_Prices'!F9)-1</f>
        <v>-1.5746555440997234E-2</v>
      </c>
      <c r="G10" s="10">
        <f>('Raw Data_Prices'!G10/'Raw Data_Prices'!G9)-1</f>
        <v>-5.7347147234787732E-2</v>
      </c>
      <c r="H10" s="10">
        <f>('Raw Data_Prices'!H10/'Raw Data_Prices'!H9)-1</f>
        <v>-3.2201576028796586E-2</v>
      </c>
      <c r="I10" s="10" cm="1">
        <f t="array" ref="I10">SUMPRODUCT(B10:H10,TRANSPOSE($O$2:$O$8))</f>
        <v>-2.2515894698767885E-2</v>
      </c>
      <c r="J10" s="12">
        <f t="shared" si="0"/>
        <v>103243339.14911851</v>
      </c>
      <c r="K10" s="12">
        <f t="shared" si="2"/>
        <v>105855340.37852329</v>
      </c>
      <c r="L10" s="10">
        <f t="shared" si="1"/>
        <v>-2.4675195602457456E-2</v>
      </c>
    </row>
    <row r="11" spans="1:15" x14ac:dyDescent="0.2">
      <c r="A11" s="1">
        <v>42704</v>
      </c>
      <c r="B11" s="10">
        <f>('Raw Data_Prices'!B11/'Raw Data_Prices'!B10)-1</f>
        <v>3.6854371036800337E-2</v>
      </c>
      <c r="C11" s="10">
        <f>('Raw Data_Prices'!C11/'Raw Data_Prices'!C10)-1</f>
        <v>-1.7675741568468073E-2</v>
      </c>
      <c r="D11" s="10">
        <f>('Raw Data_Prices'!D11/'Raw Data_Prices'!D10)-1</f>
        <v>-4.4195515393179785E-2</v>
      </c>
      <c r="E11" s="10">
        <f>('Raw Data_Prices'!E11/'Raw Data_Prices'!E10)-1</f>
        <v>-4.251331623594401E-2</v>
      </c>
      <c r="F11" s="10">
        <f>('Raw Data_Prices'!F11/'Raw Data_Prices'!F10)-1</f>
        <v>-3.1425578516331876E-2</v>
      </c>
      <c r="G11" s="10">
        <f>('Raw Data_Prices'!G11/'Raw Data_Prices'!G10)-1</f>
        <v>-1.6718266253869851E-2</v>
      </c>
      <c r="H11" s="10">
        <f>('Raw Data_Prices'!H11/'Raw Data_Prices'!H10)-1</f>
        <v>-4.0794484259325081E-2</v>
      </c>
      <c r="I11" s="10" cm="1">
        <f t="array" ref="I11">SUMPRODUCT(B11:H11,TRANSPOSE($O$2:$O$8))</f>
        <v>-1.1201321844030585E-2</v>
      </c>
      <c r="J11" s="12">
        <f t="shared" si="0"/>
        <v>102086877.27905683</v>
      </c>
      <c r="K11" s="12">
        <f t="shared" si="2"/>
        <v>105855340.37852329</v>
      </c>
      <c r="L11" s="10">
        <f t="shared" si="1"/>
        <v>-3.5600122638980491E-2</v>
      </c>
    </row>
    <row r="12" spans="1:15" x14ac:dyDescent="0.2">
      <c r="A12" s="1">
        <v>42735</v>
      </c>
      <c r="B12" s="10">
        <f>('Raw Data_Prices'!B12/'Raw Data_Prices'!B11)-1</f>
        <v>2.0176676598191445E-2</v>
      </c>
      <c r="C12" s="10">
        <f>('Raw Data_Prices'!C12/'Raw Data_Prices'!C11)-1</f>
        <v>2.6887280248190315E-2</v>
      </c>
      <c r="D12" s="10">
        <f>('Raw Data_Prices'!D12/'Raw Data_Prices'!D11)-1</f>
        <v>-2.4550222983750203E-3</v>
      </c>
      <c r="E12" s="10">
        <f>('Raw Data_Prices'!E12/'Raw Data_Prices'!E11)-1</f>
        <v>-1.133202843308978E-3</v>
      </c>
      <c r="F12" s="10">
        <f>('Raw Data_Prices'!F12/'Raw Data_Prices'!F11)-1</f>
        <v>8.4554124471536429E-3</v>
      </c>
      <c r="G12" s="10">
        <f>('Raw Data_Prices'!G12/'Raw Data_Prices'!G11)-1</f>
        <v>4.8016372795969708E-2</v>
      </c>
      <c r="H12" s="10">
        <f>('Raw Data_Prices'!H12/'Raw Data_Prices'!H11)-1</f>
        <v>2.5749459057928581E-2</v>
      </c>
      <c r="I12" s="10" cm="1">
        <f t="array" ref="I12">SUMPRODUCT(B12:H12,TRANSPOSE($O$2:$O$8))</f>
        <v>1.795882776321063E-2</v>
      </c>
      <c r="J12" s="12">
        <f t="shared" si="0"/>
        <v>103920237.92499542</v>
      </c>
      <c r="K12" s="12">
        <f t="shared" si="2"/>
        <v>105855340.37852329</v>
      </c>
      <c r="L12" s="10">
        <f t="shared" si="1"/>
        <v>-1.8280631346592635E-2</v>
      </c>
    </row>
    <row r="13" spans="1:15" x14ac:dyDescent="0.2">
      <c r="A13" s="1">
        <v>42766</v>
      </c>
      <c r="B13" s="10">
        <f>('Raw Data_Prices'!B13/'Raw Data_Prices'!B12)-1</f>
        <v>1.798432136086503E-2</v>
      </c>
      <c r="C13" s="10">
        <f>('Raw Data_Prices'!C13/'Raw Data_Prices'!C12)-1</f>
        <v>3.3031218529707917E-2</v>
      </c>
      <c r="D13" s="10">
        <f>('Raw Data_Prices'!D13/'Raw Data_Prices'!D12)-1</f>
        <v>6.6533599467731186E-2</v>
      </c>
      <c r="E13" s="10">
        <f>('Raw Data_Prices'!E13/'Raw Data_Prices'!E12)-1</f>
        <v>2.2689768976900115E-3</v>
      </c>
      <c r="F13" s="10">
        <f>('Raw Data_Prices'!F13/'Raw Data_Prices'!F12)-1</f>
        <v>1.3649215170128404E-3</v>
      </c>
      <c r="G13" s="10">
        <f>('Raw Data_Prices'!G13/'Raw Data_Prices'!G12)-1</f>
        <v>-1.8026137899953554E-3</v>
      </c>
      <c r="H13" s="10">
        <f>('Raw Data_Prices'!H13/'Raw Data_Prices'!H12)-1</f>
        <v>1.7398463886919124E-2</v>
      </c>
      <c r="I13" s="10" cm="1">
        <f t="array" ref="I13">SUMPRODUCT(B13:H13,TRANSPOSE($O$2:$O$8))</f>
        <v>1.5826531702033918E-2</v>
      </c>
      <c r="J13" s="12">
        <f t="shared" si="0"/>
        <v>105564934.86499827</v>
      </c>
      <c r="K13" s="12">
        <f t="shared" si="2"/>
        <v>105855340.37852329</v>
      </c>
      <c r="L13" s="10">
        <f t="shared" si="1"/>
        <v>-2.7434186360988377E-3</v>
      </c>
    </row>
    <row r="14" spans="1:15" x14ac:dyDescent="0.2">
      <c r="A14" s="1">
        <v>42794</v>
      </c>
      <c r="B14" s="10">
        <f>('Raw Data_Prices'!B14/'Raw Data_Prices'!B13)-1</f>
        <v>3.9359774511777745E-2</v>
      </c>
      <c r="C14" s="10">
        <f>('Raw Data_Prices'!C14/'Raw Data_Prices'!C13)-1</f>
        <v>1.1893156560732976E-2</v>
      </c>
      <c r="D14" s="10">
        <f>('Raw Data_Prices'!D14/'Raw Data_Prices'!D13)-1</f>
        <v>1.7400409945637518E-2</v>
      </c>
      <c r="E14" s="10">
        <f>('Raw Data_Prices'!E14/'Raw Data_Prices'!E13)-1</f>
        <v>7.717637373945152E-3</v>
      </c>
      <c r="F14" s="10">
        <f>('Raw Data_Prices'!F14/'Raw Data_Prices'!F13)-1</f>
        <v>1.2851718430532566E-2</v>
      </c>
      <c r="G14" s="10">
        <f>('Raw Data_Prices'!G14/'Raw Data_Prices'!G13)-1</f>
        <v>3.506395786305494E-2</v>
      </c>
      <c r="H14" s="10">
        <f>('Raw Data_Prices'!H14/'Raw Data_Prices'!H13)-1</f>
        <v>2.7467821299671069E-2</v>
      </c>
      <c r="I14" s="10" cm="1">
        <f t="array" ref="I14">SUMPRODUCT(B14:H14,TRANSPOSE($O$2:$O$8))</f>
        <v>2.3543803569040032E-2</v>
      </c>
      <c r="J14" s="12">
        <f t="shared" si="0"/>
        <v>108050334.9552383</v>
      </c>
      <c r="K14" s="12">
        <f t="shared" si="2"/>
        <v>108050334.9552383</v>
      </c>
      <c r="L14" s="10">
        <f t="shared" si="1"/>
        <v>0</v>
      </c>
    </row>
    <row r="15" spans="1:15" x14ac:dyDescent="0.2">
      <c r="A15" s="1">
        <v>42825</v>
      </c>
      <c r="B15" s="10">
        <f>('Raw Data_Prices'!B15/'Raw Data_Prices'!B14)-1</f>
        <v>1.1138014527845019E-3</v>
      </c>
      <c r="C15" s="10">
        <f>('Raw Data_Prices'!C15/'Raw Data_Prices'!C14)-1</f>
        <v>3.2369942196531776E-2</v>
      </c>
      <c r="D15" s="10">
        <f>('Raw Data_Prices'!D15/'Raw Data_Prices'!D14)-1</f>
        <v>3.687412992132133E-2</v>
      </c>
      <c r="E15" s="10">
        <f>('Raw Data_Prices'!E15/'Raw Data_Prices'!E14)-1</f>
        <v>8.1691003778217031E-4</v>
      </c>
      <c r="F15" s="10">
        <f>('Raw Data_Prices'!F15/'Raw Data_Prices'!F14)-1</f>
        <v>-2.8837835239834408E-3</v>
      </c>
      <c r="G15" s="10">
        <f>('Raw Data_Prices'!G15/'Raw Data_Prices'!G14)-1</f>
        <v>-2.4280314044780482E-2</v>
      </c>
      <c r="H15" s="10">
        <f>('Raw Data_Prices'!H15/'Raw Data_Prices'!H14)-1</f>
        <v>3.700147752947891E-2</v>
      </c>
      <c r="I15" s="10" cm="1">
        <f t="array" ref="I15">SUMPRODUCT(B15:H15,TRANSPOSE($O$2:$O$8))</f>
        <v>8.1804582650091152E-3</v>
      </c>
      <c r="J15" s="12">
        <f t="shared" si="0"/>
        <v>108934236.21085988</v>
      </c>
      <c r="K15" s="12">
        <f t="shared" si="2"/>
        <v>108934236.21085988</v>
      </c>
      <c r="L15" s="10">
        <f t="shared" si="1"/>
        <v>0</v>
      </c>
    </row>
    <row r="16" spans="1:15" x14ac:dyDescent="0.2">
      <c r="A16" s="1">
        <v>42855</v>
      </c>
      <c r="B16" s="10">
        <f>('Raw Data_Prices'!B16/'Raw Data_Prices'!B15)-1</f>
        <v>9.9163159676873835E-3</v>
      </c>
      <c r="C16" s="10">
        <f>('Raw Data_Prices'!C16/'Raw Data_Prices'!C15)-1</f>
        <v>2.4262784621127409E-2</v>
      </c>
      <c r="D16" s="10">
        <f>('Raw Data_Prices'!D16/'Raw Data_Prices'!D15)-1</f>
        <v>1.6992414962497371E-2</v>
      </c>
      <c r="E16" s="10">
        <f>('Raw Data_Prices'!E16/'Raw Data_Prices'!E15)-1</f>
        <v>1.0815222936434887E-2</v>
      </c>
      <c r="F16" s="10">
        <f>('Raw Data_Prices'!F16/'Raw Data_Prices'!F15)-1</f>
        <v>1.1954111635978037E-2</v>
      </c>
      <c r="G16" s="10">
        <f>('Raw Data_Prices'!G16/'Raw Data_Prices'!G15)-1</f>
        <v>2.3841454328714651E-3</v>
      </c>
      <c r="H16" s="10">
        <f>('Raw Data_Prices'!H16/'Raw Data_Prices'!H15)-1</f>
        <v>1.4680526680526551E-2</v>
      </c>
      <c r="I16" s="10" cm="1">
        <f t="array" ref="I16">SUMPRODUCT(B16:H16,TRANSPOSE($O$2:$O$8))</f>
        <v>1.2528856193824779E-2</v>
      </c>
      <c r="J16" s="12">
        <f t="shared" si="0"/>
        <v>110299057.59092988</v>
      </c>
      <c r="K16" s="12">
        <f t="shared" si="2"/>
        <v>110299057.59092988</v>
      </c>
      <c r="L16" s="10">
        <f t="shared" si="1"/>
        <v>0</v>
      </c>
    </row>
    <row r="17" spans="1:12" x14ac:dyDescent="0.2">
      <c r="A17" s="1">
        <v>42886</v>
      </c>
      <c r="B17" s="10">
        <f>('Raw Data_Prices'!B17/'Raw Data_Prices'!B16)-1</f>
        <v>1.4321295143213009E-2</v>
      </c>
      <c r="C17" s="10">
        <f>('Raw Data_Prices'!C17/'Raw Data_Prices'!C16)-1</f>
        <v>3.5349854227405109E-2</v>
      </c>
      <c r="D17" s="10">
        <f>('Raw Data_Prices'!D17/'Raw Data_Prices'!D16)-1</f>
        <v>2.8501159982674551E-2</v>
      </c>
      <c r="E17" s="10">
        <f>('Raw Data_Prices'!E17/'Raw Data_Prices'!E16)-1</f>
        <v>8.2769758756435774E-3</v>
      </c>
      <c r="F17" s="10">
        <f>('Raw Data_Prices'!F17/'Raw Data_Prices'!F16)-1</f>
        <v>1.3908735829284646E-2</v>
      </c>
      <c r="G17" s="10">
        <f>('Raw Data_Prices'!G17/'Raw Data_Prices'!G16)-1</f>
        <v>-7.2840790842870762E-3</v>
      </c>
      <c r="H17" s="10">
        <f>('Raw Data_Prices'!H17/'Raw Data_Prices'!H16)-1</f>
        <v>4.0038683662709129E-2</v>
      </c>
      <c r="I17" s="10" cm="1">
        <f t="array" ref="I17">SUMPRODUCT(B17:H17,TRANSPOSE($O$2:$O$8))</f>
        <v>1.7345653892107783E-2</v>
      </c>
      <c r="J17" s="12">
        <f t="shared" si="0"/>
        <v>112212266.86852781</v>
      </c>
      <c r="K17" s="12">
        <f t="shared" si="2"/>
        <v>112212266.86852781</v>
      </c>
      <c r="L17" s="10">
        <f t="shared" si="1"/>
        <v>0</v>
      </c>
    </row>
    <row r="18" spans="1:12" x14ac:dyDescent="0.2">
      <c r="A18" s="1">
        <v>42916</v>
      </c>
      <c r="B18" s="10">
        <f>('Raw Data_Prices'!B18/'Raw Data_Prices'!B17)-1</f>
        <v>6.2331775038957371E-3</v>
      </c>
      <c r="C18" s="10">
        <f>('Raw Data_Prices'!C18/'Raw Data_Prices'!C17)-1</f>
        <v>2.9919042590638156E-3</v>
      </c>
      <c r="D18" s="10">
        <f>('Raw Data_Prices'!D18/'Raw Data_Prices'!D17)-1</f>
        <v>9.1928891401604762E-3</v>
      </c>
      <c r="E18" s="10">
        <f>('Raw Data_Prices'!E18/'Raw Data_Prices'!E17)-1</f>
        <v>-5.2057262989287922E-3</v>
      </c>
      <c r="F18" s="10">
        <f>('Raw Data_Prices'!F18/'Raw Data_Prices'!F17)-1</f>
        <v>4.4160481067367918E-3</v>
      </c>
      <c r="G18" s="10">
        <f>('Raw Data_Prices'!G18/'Raw Data_Prices'!G17)-1</f>
        <v>2.2461814914645162E-2</v>
      </c>
      <c r="H18" s="10">
        <f>('Raw Data_Prices'!H18/'Raw Data_Prices'!H17)-1</f>
        <v>8.0377828327660161E-4</v>
      </c>
      <c r="I18" s="10" cm="1">
        <f t="array" ref="I18">SUMPRODUCT(B18:H18,TRANSPOSE($O$2:$O$8))</f>
        <v>4.5054022177164138E-3</v>
      </c>
      <c r="J18" s="12">
        <f t="shared" si="0"/>
        <v>112717828.26453227</v>
      </c>
      <c r="K18" s="12">
        <f t="shared" si="2"/>
        <v>112717828.26453227</v>
      </c>
      <c r="L18" s="10">
        <f t="shared" si="1"/>
        <v>0</v>
      </c>
    </row>
    <row r="19" spans="1:12" x14ac:dyDescent="0.2">
      <c r="A19" s="1">
        <v>42947</v>
      </c>
      <c r="B19" s="10">
        <f>('Raw Data_Prices'!B19/'Raw Data_Prices'!B18)-1</f>
        <v>2.0601623727063645E-2</v>
      </c>
      <c r="C19" s="10">
        <f>('Raw Data_Prices'!C19/'Raw Data_Prices'!C18)-1</f>
        <v>2.6495876469555979E-2</v>
      </c>
      <c r="D19" s="10">
        <f>('Raw Data_Prices'!D19/'Raw Data_Prices'!D18)-1</f>
        <v>5.8264831307807574E-2</v>
      </c>
      <c r="E19" s="10">
        <f>('Raw Data_Prices'!E19/'Raw Data_Prices'!E18)-1</f>
        <v>3.7234577840392635E-3</v>
      </c>
      <c r="F19" s="10">
        <f>('Raw Data_Prices'!F19/'Raw Data_Prices'!F18)-1</f>
        <v>7.5771749298407798E-3</v>
      </c>
      <c r="G19" s="10">
        <f>('Raw Data_Prices'!G19/'Raw Data_Prices'!G18)-1</f>
        <v>1.2302284710017597E-2</v>
      </c>
      <c r="H19" s="10">
        <f>('Raw Data_Prices'!H19/'Raw Data_Prices'!H18)-1</f>
        <v>2.9563683702179544E-2</v>
      </c>
      <c r="I19" s="10" cm="1">
        <f t="array" ref="I19">SUMPRODUCT(B19:H19,TRANSPOSE($O$2:$O$8))</f>
        <v>1.8757116044954513E-2</v>
      </c>
      <c r="J19" s="12">
        <f t="shared" si="0"/>
        <v>114832089.64962535</v>
      </c>
      <c r="K19" s="12">
        <f t="shared" si="2"/>
        <v>114832089.64962535</v>
      </c>
      <c r="L19" s="10">
        <f t="shared" si="1"/>
        <v>0</v>
      </c>
    </row>
    <row r="20" spans="1:12" x14ac:dyDescent="0.2">
      <c r="A20" s="1">
        <v>42978</v>
      </c>
      <c r="B20" s="10">
        <f>('Raw Data_Prices'!B20/'Raw Data_Prices'!B19)-1</f>
        <v>2.8968180982160696E-3</v>
      </c>
      <c r="C20" s="10">
        <f>('Raw Data_Prices'!C20/'Raw Data_Prices'!C19)-1</f>
        <v>-5.128205128205332E-4</v>
      </c>
      <c r="D20" s="10">
        <f>('Raw Data_Prices'!D20/'Raw Data_Prices'!D19)-1</f>
        <v>2.3475839493535489E-2</v>
      </c>
      <c r="E20" s="10">
        <f>('Raw Data_Prices'!E20/'Raw Data_Prices'!E19)-1</f>
        <v>1.4537798275516378E-2</v>
      </c>
      <c r="F20" s="10">
        <f>('Raw Data_Prices'!F20/'Raw Data_Prices'!F19)-1</f>
        <v>6.5917742085228603E-3</v>
      </c>
      <c r="G20" s="10">
        <f>('Raw Data_Prices'!G20/'Raw Data_Prices'!G19)-1</f>
        <v>-2.6041666666667407E-3</v>
      </c>
      <c r="H20" s="10">
        <f>('Raw Data_Prices'!H20/'Raw Data_Prices'!H19)-1</f>
        <v>1.6746033364603896E-2</v>
      </c>
      <c r="I20" s="10" cm="1">
        <f t="array" ref="I20">SUMPRODUCT(B20:H20,TRANSPOSE($O$2:$O$8))</f>
        <v>6.9468380729677918E-3</v>
      </c>
      <c r="J20" s="12">
        <f t="shared" si="0"/>
        <v>115629809.58200182</v>
      </c>
      <c r="K20" s="12">
        <f t="shared" si="2"/>
        <v>115629809.58200182</v>
      </c>
      <c r="L20" s="10">
        <f t="shared" si="1"/>
        <v>0</v>
      </c>
    </row>
    <row r="21" spans="1:12" x14ac:dyDescent="0.2">
      <c r="A21" s="1">
        <v>43008</v>
      </c>
      <c r="B21" s="10">
        <f>('Raw Data_Prices'!B21/'Raw Data_Prices'!B20)-1</f>
        <v>2.0219155472009476E-2</v>
      </c>
      <c r="C21" s="10">
        <f>('Raw Data_Prices'!C21/'Raw Data_Prices'!C20)-1</f>
        <v>2.3601847101077489E-2</v>
      </c>
      <c r="D21" s="10">
        <f>('Raw Data_Prices'!D21/'Raw Data_Prices'!D20)-1</f>
        <v>-4.3541938803781655E-4</v>
      </c>
      <c r="E21" s="10">
        <f>('Raw Data_Prices'!E21/'Raw Data_Prices'!E20)-1</f>
        <v>-1.4428303192014935E-2</v>
      </c>
      <c r="F21" s="10">
        <f>('Raw Data_Prices'!F21/'Raw Data_Prices'!F20)-1</f>
        <v>-5.5340343110132917E-4</v>
      </c>
      <c r="G21" s="10">
        <f>('Raw Data_Prices'!G21/'Raw Data_Prices'!G20)-1</f>
        <v>-1.1604293588627357E-3</v>
      </c>
      <c r="H21" s="10">
        <f>('Raw Data_Prices'!H21/'Raw Data_Prices'!H20)-1</f>
        <v>-1.6941588251960016E-2</v>
      </c>
      <c r="I21" s="10" cm="1">
        <f t="array" ref="I21">SUMPRODUCT(B21:H21,TRANSPOSE($O$2:$O$8))</f>
        <v>4.8330499947671791E-3</v>
      </c>
      <c r="J21" s="12">
        <f t="shared" si="0"/>
        <v>116188654.23259704</v>
      </c>
      <c r="K21" s="12">
        <f t="shared" si="2"/>
        <v>116188654.23259704</v>
      </c>
      <c r="L21" s="10">
        <f t="shared" si="1"/>
        <v>0</v>
      </c>
    </row>
    <row r="22" spans="1:12" x14ac:dyDescent="0.2">
      <c r="A22" s="1">
        <v>43039</v>
      </c>
      <c r="B22" s="10">
        <f>('Raw Data_Prices'!B22/'Raw Data_Prices'!B21)-1</f>
        <v>2.3503505302894023E-2</v>
      </c>
      <c r="C22" s="10">
        <f>('Raw Data_Prices'!C22/'Raw Data_Prices'!C21)-1</f>
        <v>1.6875522138680044E-2</v>
      </c>
      <c r="D22" s="10">
        <f>('Raw Data_Prices'!D22/'Raw Data_Prices'!D21)-1</f>
        <v>3.2807962405618118E-2</v>
      </c>
      <c r="E22" s="10">
        <f>('Raw Data_Prices'!E22/'Raw Data_Prices'!E21)-1</f>
        <v>-1.8048731575254218E-3</v>
      </c>
      <c r="F22" s="10">
        <f>('Raw Data_Prices'!F22/'Raw Data_Prices'!F21)-1</f>
        <v>2.0302694721299197E-3</v>
      </c>
      <c r="G22" s="10">
        <f>('Raw Data_Prices'!G22/'Raw Data_Prices'!G21)-1</f>
        <v>-1.0746442056346117E-2</v>
      </c>
      <c r="H22" s="10">
        <f>('Raw Data_Prices'!H22/'Raw Data_Prices'!H21)-1</f>
        <v>6.4144418032869854E-3</v>
      </c>
      <c r="I22" s="10" cm="1">
        <f t="array" ref="I22">SUMPRODUCT(B22:H22,TRANSPOSE($O$2:$O$8))</f>
        <v>1.0631630322353114E-2</v>
      </c>
      <c r="J22" s="12">
        <f t="shared" si="0"/>
        <v>117423929.05204971</v>
      </c>
      <c r="K22" s="12">
        <f t="shared" si="2"/>
        <v>117423929.05204971</v>
      </c>
      <c r="L22" s="10">
        <f t="shared" si="1"/>
        <v>0</v>
      </c>
    </row>
    <row r="23" spans="1:12" x14ac:dyDescent="0.2">
      <c r="A23" s="1">
        <v>43069</v>
      </c>
      <c r="B23" s="10">
        <f>('Raw Data_Prices'!B23/'Raw Data_Prices'!B22)-1</f>
        <v>3.0515916575192037E-2</v>
      </c>
      <c r="C23" s="10">
        <f>('Raw Data_Prices'!C23/'Raw Data_Prices'!C22)-1</f>
        <v>6.9010844561288032E-3</v>
      </c>
      <c r="D23" s="10">
        <f>('Raw Data_Prices'!D23/'Raw Data_Prices'!D22)-1</f>
        <v>-3.8624053250581047E-3</v>
      </c>
      <c r="E23" s="10">
        <f>('Raw Data_Prices'!E23/'Raw Data_Prices'!E22)-1</f>
        <v>-2.7122049221496303E-3</v>
      </c>
      <c r="F23" s="10">
        <f>('Raw Data_Prices'!F23/'Raw Data_Prices'!F22)-1</f>
        <v>-1.2893718916927588E-3</v>
      </c>
      <c r="G23" s="10">
        <f>('Raw Data_Prices'!G23/'Raw Data_Prices'!G22)-1</f>
        <v>2.6717557251908275E-2</v>
      </c>
      <c r="H23" s="10">
        <f>('Raw Data_Prices'!H23/'Raw Data_Prices'!H22)-1</f>
        <v>1.6723306445277419E-2</v>
      </c>
      <c r="I23" s="10" cm="1">
        <f t="array" ref="I23">SUMPRODUCT(B23:H23,TRANSPOSE($O$2:$O$8))</f>
        <v>1.3669525570843392E-2</v>
      </c>
      <c r="J23" s="12">
        <f t="shared" si="0"/>
        <v>119029058.45285562</v>
      </c>
      <c r="K23" s="12">
        <f t="shared" si="2"/>
        <v>119029058.45285562</v>
      </c>
      <c r="L23" s="10">
        <f t="shared" si="1"/>
        <v>0</v>
      </c>
    </row>
    <row r="24" spans="1:12" x14ac:dyDescent="0.2">
      <c r="A24" s="1">
        <v>43100</v>
      </c>
      <c r="B24" s="10">
        <f>('Raw Data_Prices'!B24/'Raw Data_Prices'!B23)-1</f>
        <v>1.214316148274408E-2</v>
      </c>
      <c r="C24" s="10">
        <f>('Raw Data_Prices'!C24/'Raw Data_Prices'!C23)-1</f>
        <v>1.3381201044386337E-2</v>
      </c>
      <c r="D24" s="10">
        <f>('Raw Data_Prices'!D24/'Raw Data_Prices'!D23)-1</f>
        <v>3.7670389226474033E-2</v>
      </c>
      <c r="E24" s="10">
        <f>('Raw Data_Prices'!E24/'Raw Data_Prices'!E23)-1</f>
        <v>1.6116035455278066E-3</v>
      </c>
      <c r="F24" s="10">
        <f>('Raw Data_Prices'!F24/'Raw Data_Prices'!F23)-1</f>
        <v>1.2541497602360785E-2</v>
      </c>
      <c r="G24" s="10">
        <f>('Raw Data_Prices'!G24/'Raw Data_Prices'!G23)-1</f>
        <v>-1.5727766657134268E-3</v>
      </c>
      <c r="H24" s="10">
        <f>('Raw Data_Prices'!H24/'Raw Data_Prices'!H23)-1</f>
        <v>-1.0301646568527278E-2</v>
      </c>
      <c r="I24" s="10" cm="1">
        <f t="array" ref="I24">SUMPRODUCT(B24:H24,TRANSPOSE($O$2:$O$8))</f>
        <v>7.9226762087224456E-3</v>
      </c>
      <c r="J24" s="12">
        <f t="shared" si="0"/>
        <v>119972087.1424067</v>
      </c>
      <c r="K24" s="12">
        <f t="shared" si="2"/>
        <v>119972087.1424067</v>
      </c>
      <c r="L24" s="10">
        <f t="shared" si="1"/>
        <v>0</v>
      </c>
    </row>
    <row r="25" spans="1:12" x14ac:dyDescent="0.2">
      <c r="A25" s="1">
        <v>43131</v>
      </c>
      <c r="B25" s="10">
        <f>('Raw Data_Prices'!B25/'Raw Data_Prices'!B24)-1</f>
        <v>5.6282887813091875E-2</v>
      </c>
      <c r="C25" s="10">
        <f>('Raw Data_Prices'!C25/'Raw Data_Prices'!C24)-1</f>
        <v>5.0241545893719763E-2</v>
      </c>
      <c r="D25" s="10">
        <f>('Raw Data_Prices'!D25/'Raw Data_Prices'!D24)-1</f>
        <v>8.2959918491700702E-2</v>
      </c>
      <c r="E25" s="10">
        <f>('Raw Data_Prices'!E25/'Raw Data_Prices'!E24)-1</f>
        <v>-2.1218825422365195E-2</v>
      </c>
      <c r="F25" s="10">
        <f>('Raw Data_Prices'!F25/'Raw Data_Prices'!F24)-1</f>
        <v>-1.2659380692167543E-2</v>
      </c>
      <c r="G25" s="10">
        <f>('Raw Data_Prices'!G25/'Raw Data_Prices'!G24)-1</f>
        <v>-4.2531863096090472E-2</v>
      </c>
      <c r="H25" s="10">
        <f>('Raw Data_Prices'!H25/'Raw Data_Prices'!H24)-1</f>
        <v>1.2146625867301308E-2</v>
      </c>
      <c r="I25" s="10" cm="1">
        <f t="array" ref="I25">SUMPRODUCT(B25:H25,TRANSPOSE($O$2:$O$8))</f>
        <v>2.0020867276001848E-2</v>
      </c>
      <c r="J25" s="12">
        <f t="shared" si="0"/>
        <v>122374032.37590975</v>
      </c>
      <c r="K25" s="12">
        <f t="shared" si="2"/>
        <v>122374032.37590975</v>
      </c>
      <c r="L25" s="10">
        <f t="shared" si="1"/>
        <v>0</v>
      </c>
    </row>
    <row r="26" spans="1:12" x14ac:dyDescent="0.2">
      <c r="A26" s="1">
        <v>43159</v>
      </c>
      <c r="B26" s="10">
        <f>('Raw Data_Prices'!B26/'Raw Data_Prices'!B25)-1</f>
        <v>-3.6266539135979547E-2</v>
      </c>
      <c r="C26" s="10">
        <f>('Raw Data_Prices'!C26/'Raw Data_Prices'!C25)-1</f>
        <v>-4.8298068077276879E-2</v>
      </c>
      <c r="D26" s="10">
        <f>('Raw Data_Prices'!D26/'Raw Data_Prices'!D25)-1</f>
        <v>-5.8953286308323527E-2</v>
      </c>
      <c r="E26" s="10">
        <f>('Raw Data_Prices'!E26/'Raw Data_Prices'!E25)-1</f>
        <v>-9.4523785061132459E-3</v>
      </c>
      <c r="F26" s="10">
        <f>('Raw Data_Prices'!F26/'Raw Data_Prices'!F25)-1</f>
        <v>-2.2045936721704629E-2</v>
      </c>
      <c r="G26" s="10">
        <f>('Raw Data_Prices'!G26/'Raw Data_Prices'!G25)-1</f>
        <v>-7.6727490278193256E-2</v>
      </c>
      <c r="H26" s="10">
        <f>('Raw Data_Prices'!H26/'Raw Data_Prices'!H25)-1</f>
        <v>-6.7979138466438438E-2</v>
      </c>
      <c r="I26" s="10" cm="1">
        <f t="array" ref="I26">SUMPRODUCT(B26:H26,TRANSPOSE($O$2:$O$8))</f>
        <v>-3.9638068515657848E-2</v>
      </c>
      <c r="J26" s="12">
        <f t="shared" si="0"/>
        <v>117523362.0960561</v>
      </c>
      <c r="K26" s="12">
        <f t="shared" si="2"/>
        <v>122374032.37590975</v>
      </c>
      <c r="L26" s="10">
        <f t="shared" si="1"/>
        <v>-3.9638068515657876E-2</v>
      </c>
    </row>
    <row r="27" spans="1:12" x14ac:dyDescent="0.2">
      <c r="A27" s="1">
        <v>43190</v>
      </c>
      <c r="B27" s="10">
        <f>('Raw Data_Prices'!B27/'Raw Data_Prices'!B26)-1</f>
        <v>-2.7375734017037523E-2</v>
      </c>
      <c r="C27" s="10">
        <f>('Raw Data_Prices'!C27/'Raw Data_Prices'!C26)-1</f>
        <v>-8.3776381504753195E-3</v>
      </c>
      <c r="D27" s="10">
        <f>('Raw Data_Prices'!D27/'Raw Data_Prices'!D26)-1</f>
        <v>5.4209353904091095E-3</v>
      </c>
      <c r="E27" s="10">
        <f>('Raw Data_Prices'!E27/'Raw Data_Prices'!E26)-1</f>
        <v>1.1720775853127474E-2</v>
      </c>
      <c r="F27" s="10">
        <f>('Raw Data_Prices'!F27/'Raw Data_Prices'!F26)-1</f>
        <v>5.659309564233217E-3</v>
      </c>
      <c r="G27" s="10">
        <f>('Raw Data_Prices'!G27/'Raw Data_Prices'!G26)-1</f>
        <v>3.8878989146282183E-2</v>
      </c>
      <c r="H27" s="10">
        <f>('Raw Data_Prices'!H27/'Raw Data_Prices'!H26)-1</f>
        <v>4.4744879434441831E-3</v>
      </c>
      <c r="I27" s="10" cm="1">
        <f t="array" ref="I27">SUMPRODUCT(B27:H27,TRANSPOSE($O$2:$O$8))</f>
        <v>-1.9528853221406459E-3</v>
      </c>
      <c r="J27" s="12">
        <f t="shared" si="0"/>
        <v>117293852.44721009</v>
      </c>
      <c r="K27" s="12">
        <f t="shared" si="2"/>
        <v>122374032.37590975</v>
      </c>
      <c r="L27" s="10">
        <f t="shared" si="1"/>
        <v>-4.1513545235596361E-2</v>
      </c>
    </row>
    <row r="28" spans="1:12" x14ac:dyDescent="0.2">
      <c r="A28" s="1">
        <v>43220</v>
      </c>
      <c r="B28" s="10">
        <f>('Raw Data_Prices'!B28/'Raw Data_Prices'!B27)-1</f>
        <v>5.1020408163267028E-3</v>
      </c>
      <c r="C28" s="10">
        <f>('Raw Data_Prices'!C28/'Raw Data_Prices'!C27)-1</f>
        <v>1.5109666937449306E-2</v>
      </c>
      <c r="D28" s="10">
        <f>('Raw Data_Prices'!D28/'Raw Data_Prices'!D27)-1</f>
        <v>-2.8179755756142288E-2</v>
      </c>
      <c r="E28" s="10">
        <f>('Raw Data_Prices'!E28/'Raw Data_Prices'!E27)-1</f>
        <v>-1.2917777322124291E-2</v>
      </c>
      <c r="F28" s="10">
        <f>('Raw Data_Prices'!F28/'Raw Data_Prices'!F27)-1</f>
        <v>-1.6132057775276709E-2</v>
      </c>
      <c r="G28" s="10">
        <f>('Raw Data_Prices'!G28/'Raw Data_Prices'!G27)-1</f>
        <v>8.2644628099173278E-3</v>
      </c>
      <c r="H28" s="10">
        <f>('Raw Data_Prices'!H28/'Raw Data_Prices'!H27)-1</f>
        <v>2.010663292969439E-2</v>
      </c>
      <c r="I28" s="10" cm="1">
        <f t="array" ref="I28">SUMPRODUCT(B28:H28,TRANSPOSE($O$2:$O$8))</f>
        <v>1.0284228297169351E-3</v>
      </c>
      <c r="J28" s="12">
        <f t="shared" si="0"/>
        <v>117414480.12285224</v>
      </c>
      <c r="K28" s="12">
        <f t="shared" si="2"/>
        <v>122374032.37590975</v>
      </c>
      <c r="L28" s="10">
        <f t="shared" si="1"/>
        <v>-4.0527815883542262E-2</v>
      </c>
    </row>
    <row r="29" spans="1:12" x14ac:dyDescent="0.2">
      <c r="A29" s="1">
        <v>43251</v>
      </c>
      <c r="B29" s="10">
        <f>('Raw Data_Prices'!B29/'Raw Data_Prices'!B28)-1</f>
        <v>2.4323181049069387E-2</v>
      </c>
      <c r="C29" s="10">
        <f>('Raw Data_Prices'!C29/'Raw Data_Prices'!C28)-1</f>
        <v>-1.8886043533930863E-2</v>
      </c>
      <c r="D29" s="10">
        <f>('Raw Data_Prices'!D29/'Raw Data_Prices'!D28)-1</f>
        <v>-2.6222855780501764E-2</v>
      </c>
      <c r="E29" s="10">
        <f>('Raw Data_Prices'!E29/'Raw Data_Prices'!E28)-1</f>
        <v>9.9709181553799819E-3</v>
      </c>
      <c r="F29" s="10">
        <f>('Raw Data_Prices'!F29/'Raw Data_Prices'!F28)-1</f>
        <v>5.4337464251668077E-3</v>
      </c>
      <c r="G29" s="10">
        <f>('Raw Data_Prices'!G29/'Raw Data_Prices'!G28)-1</f>
        <v>3.680791834209729E-2</v>
      </c>
      <c r="H29" s="10">
        <f>('Raw Data_Prices'!H29/'Raw Data_Prices'!H28)-1</f>
        <v>-1.6753124601038394E-2</v>
      </c>
      <c r="I29" s="10" cm="1">
        <f t="array" ref="I29">SUMPRODUCT(B29:H29,TRANSPOSE($O$2:$O$8))</f>
        <v>7.6959426433046664E-3</v>
      </c>
      <c r="J29" s="12">
        <f t="shared" si="0"/>
        <v>118318095.22737116</v>
      </c>
      <c r="K29" s="12">
        <f t="shared" si="2"/>
        <v>122374032.37590975</v>
      </c>
      <c r="L29" s="10">
        <f t="shared" si="1"/>
        <v>-3.3143772986735653E-2</v>
      </c>
    </row>
    <row r="30" spans="1:12" x14ac:dyDescent="0.2">
      <c r="A30" s="1">
        <v>43281</v>
      </c>
      <c r="B30" s="10">
        <f>('Raw Data_Prices'!B30/'Raw Data_Prices'!B29)-1</f>
        <v>5.8641338013627475E-3</v>
      </c>
      <c r="C30" s="10">
        <f>('Raw Data_Prices'!C30/'Raw Data_Prices'!C29)-1</f>
        <v>-1.5986949429037445E-2</v>
      </c>
      <c r="D30" s="10">
        <f>('Raw Data_Prices'!D30/'Raw Data_Prices'!D29)-1</f>
        <v>-4.5431708343428578E-2</v>
      </c>
      <c r="E30" s="10">
        <f>('Raw Data_Prices'!E30/'Raw Data_Prices'!E29)-1</f>
        <v>1.9539284245166932E-3</v>
      </c>
      <c r="F30" s="10">
        <f>('Raw Data_Prices'!F30/'Raw Data_Prices'!F29)-1</f>
        <v>-5.0251256281407253E-3</v>
      </c>
      <c r="G30" s="10">
        <f>('Raw Data_Prices'!G30/'Raw Data_Prices'!G29)-1</f>
        <v>4.1915274463006913E-2</v>
      </c>
      <c r="H30" s="10">
        <f>('Raw Data_Prices'!H30/'Raw Data_Prices'!H29)-1</f>
        <v>1.5888536458043445E-2</v>
      </c>
      <c r="I30" s="10" cm="1">
        <f t="array" ref="I30">SUMPRODUCT(B30:H30,TRANSPOSE($O$2:$O$8))</f>
        <v>2.7582665230760804E-3</v>
      </c>
      <c r="J30" s="12">
        <f t="shared" si="0"/>
        <v>118644448.06851095</v>
      </c>
      <c r="K30" s="12">
        <f t="shared" si="2"/>
        <v>122374032.37590975</v>
      </c>
      <c r="L30" s="10">
        <f t="shared" si="1"/>
        <v>-3.0476925823137213E-2</v>
      </c>
    </row>
    <row r="31" spans="1:12" x14ac:dyDescent="0.2">
      <c r="A31" s="1">
        <v>43312</v>
      </c>
      <c r="B31" s="10">
        <f>('Raw Data_Prices'!B31/'Raw Data_Prices'!B30)-1</f>
        <v>3.707353122305701E-2</v>
      </c>
      <c r="C31" s="10">
        <f>('Raw Data_Prices'!C31/'Raw Data_Prices'!C30)-1</f>
        <v>2.851458885941649E-2</v>
      </c>
      <c r="D31" s="10">
        <f>('Raw Data_Prices'!D31/'Raw Data_Prices'!D30)-1</f>
        <v>3.5306753301575622E-2</v>
      </c>
      <c r="E31" s="10">
        <f>('Raw Data_Prices'!E31/'Raw Data_Prices'!E30)-1</f>
        <v>-5.3371651442062351E-3</v>
      </c>
      <c r="F31" s="10">
        <f>('Raw Data_Prices'!F31/'Raw Data_Prices'!F30)-1</f>
        <v>1.4008004574042277E-2</v>
      </c>
      <c r="G31" s="10">
        <f>('Raw Data_Prices'!G31/'Raw Data_Prices'!G30)-1</f>
        <v>6.0128847530422913E-3</v>
      </c>
      <c r="H31" s="10">
        <f>('Raw Data_Prices'!H31/'Raw Data_Prices'!H30)-1</f>
        <v>1.8600586892729254E-2</v>
      </c>
      <c r="I31" s="10" cm="1">
        <f t="array" ref="I31">SUMPRODUCT(B31:H31,TRANSPOSE($O$2:$O$8))</f>
        <v>1.9959299954048489E-2</v>
      </c>
      <c r="J31" s="12">
        <f t="shared" si="0"/>
        <v>121012508.19539289</v>
      </c>
      <c r="K31" s="12">
        <f t="shared" si="2"/>
        <v>122374032.37590975</v>
      </c>
      <c r="L31" s="10">
        <f t="shared" si="1"/>
        <v>-1.1125923973270058E-2</v>
      </c>
    </row>
    <row r="32" spans="1:12" x14ac:dyDescent="0.2">
      <c r="A32" s="1">
        <v>43343</v>
      </c>
      <c r="B32" s="10">
        <f>('Raw Data_Prices'!B32/'Raw Data_Prices'!B31)-1</f>
        <v>3.1828978622327808E-2</v>
      </c>
      <c r="C32" s="10">
        <f>('Raw Data_Prices'!C32/'Raw Data_Prices'!C31)-1</f>
        <v>-2.2243713733075432E-2</v>
      </c>
      <c r="D32" s="10">
        <f>('Raw Data_Prices'!D32/'Raw Data_Prices'!D31)-1</f>
        <v>-3.7715545049625043E-2</v>
      </c>
      <c r="E32" s="10">
        <f>('Raw Data_Prices'!E32/'Raw Data_Prices'!E31)-1</f>
        <v>1.0422041069033217E-2</v>
      </c>
      <c r="F32" s="10">
        <f>('Raw Data_Prices'!F32/'Raw Data_Prices'!F31)-1</f>
        <v>9.3976130063122554E-5</v>
      </c>
      <c r="G32" s="10">
        <f>('Raw Data_Prices'!G32/'Raw Data_Prices'!G31)-1</f>
        <v>2.5757791376120664E-2</v>
      </c>
      <c r="H32" s="10">
        <f>('Raw Data_Prices'!H32/'Raw Data_Prices'!H31)-1</f>
        <v>-2.5838271370990484E-2</v>
      </c>
      <c r="I32" s="10" cm="1">
        <f t="array" ref="I32">SUMPRODUCT(B32:H32,TRANSPOSE($O$2:$O$8))</f>
        <v>6.4121171015817475E-3</v>
      </c>
      <c r="J32" s="12">
        <f t="shared" si="0"/>
        <v>121788454.56869788</v>
      </c>
      <c r="K32" s="12">
        <f t="shared" si="2"/>
        <v>122374032.37590975</v>
      </c>
      <c r="L32" s="10">
        <f t="shared" si="1"/>
        <v>-4.785147599068007E-3</v>
      </c>
    </row>
    <row r="33" spans="1:12" x14ac:dyDescent="0.2">
      <c r="A33" s="1">
        <v>43373</v>
      </c>
      <c r="B33" s="10">
        <f>('Raw Data_Prices'!B33/'Raw Data_Prices'!B32)-1</f>
        <v>5.9852670349906933E-3</v>
      </c>
      <c r="C33" s="10">
        <f>('Raw Data_Prices'!C33/'Raw Data_Prices'!C32)-1</f>
        <v>9.5614902736564922E-3</v>
      </c>
      <c r="D33" s="10">
        <f>('Raw Data_Prices'!D33/'Raw Data_Prices'!D32)-1</f>
        <v>-5.7711234650339449E-3</v>
      </c>
      <c r="E33" s="10">
        <f>('Raw Data_Prices'!E33/'Raw Data_Prices'!E32)-1</f>
        <v>-1.2357026143790972E-2</v>
      </c>
      <c r="F33" s="10">
        <f>('Raw Data_Prices'!F33/'Raw Data_Prices'!F32)-1</f>
        <v>-1.4095094906972916E-3</v>
      </c>
      <c r="G33" s="10">
        <f>('Raw Data_Prices'!G33/'Raw Data_Prices'!G32)-1</f>
        <v>-2.6637069922308521E-2</v>
      </c>
      <c r="H33" s="10">
        <f>('Raw Data_Prices'!H33/'Raw Data_Prices'!H32)-1</f>
        <v>-1.1692462987886953E-2</v>
      </c>
      <c r="I33" s="10" cm="1">
        <f t="array" ref="I33">SUMPRODUCT(B33:H33,TRANSPOSE($O$2:$O$8))</f>
        <v>-3.5040619905534875E-3</v>
      </c>
      <c r="J33" s="12">
        <f t="shared" si="0"/>
        <v>121361700.27415545</v>
      </c>
      <c r="K33" s="12">
        <f t="shared" si="2"/>
        <v>122374032.37590975</v>
      </c>
      <c r="L33" s="10">
        <f t="shared" si="1"/>
        <v>-8.2724421358004729E-3</v>
      </c>
    </row>
    <row r="34" spans="1:12" x14ac:dyDescent="0.2">
      <c r="A34" s="1">
        <v>43404</v>
      </c>
      <c r="B34" s="10">
        <f>('Raw Data_Prices'!B34/'Raw Data_Prices'!B33)-1</f>
        <v>-6.9107551487414098E-2</v>
      </c>
      <c r="C34" s="10">
        <f>('Raw Data_Prices'!C34/'Raw Data_Prices'!C33)-1</f>
        <v>-8.1319399085565069E-2</v>
      </c>
      <c r="D34" s="10">
        <f>('Raw Data_Prices'!D34/'Raw Data_Prices'!D33)-1</f>
        <v>-8.7619592219863707E-2</v>
      </c>
      <c r="E34" s="10">
        <f>('Raw Data_Prices'!E34/'Raw Data_Prices'!E33)-1</f>
        <v>-2.8952538517215132E-3</v>
      </c>
      <c r="F34" s="10">
        <f>('Raw Data_Prices'!F34/'Raw Data_Prices'!F33)-1</f>
        <v>-2.0796085442740142E-2</v>
      </c>
      <c r="G34" s="10">
        <f>('Raw Data_Prices'!G34/'Raw Data_Prices'!G33)-1</f>
        <v>-2.9218928164196134E-2</v>
      </c>
      <c r="H34" s="10">
        <f>('Raw Data_Prices'!H34/'Raw Data_Prices'!H33)-1</f>
        <v>-3.7066984424206306E-2</v>
      </c>
      <c r="I34" s="10" cm="1">
        <f t="array" ref="I34">SUMPRODUCT(B34:H34,TRANSPOSE($O$2:$O$8))</f>
        <v>-4.6598405493510728E-2</v>
      </c>
      <c r="J34" s="12">
        <f t="shared" si="0"/>
        <v>115706438.55339845</v>
      </c>
      <c r="K34" s="12">
        <f t="shared" si="2"/>
        <v>122374032.37590975</v>
      </c>
      <c r="L34" s="10">
        <f t="shared" si="1"/>
        <v>-5.4485365016245568E-2</v>
      </c>
    </row>
    <row r="35" spans="1:12" x14ac:dyDescent="0.2">
      <c r="A35" s="1">
        <v>43434</v>
      </c>
      <c r="B35" s="10">
        <f>('Raw Data_Prices'!B35/'Raw Data_Prices'!B34)-1</f>
        <v>1.8477548344804973E-2</v>
      </c>
      <c r="C35" s="10">
        <f>('Raw Data_Prices'!C35/'Raw Data_Prices'!C34)-1</f>
        <v>4.976892996800597E-3</v>
      </c>
      <c r="D35" s="10">
        <f>('Raw Data_Prices'!D35/'Raw Data_Prices'!D34)-1</f>
        <v>4.9057663596990597E-2</v>
      </c>
      <c r="E35" s="10">
        <f>('Raw Data_Prices'!E35/'Raw Data_Prices'!E34)-1</f>
        <v>1.337757959141328E-2</v>
      </c>
      <c r="F35" s="10">
        <f>('Raw Data_Prices'!F35/'Raw Data_Prices'!F34)-1</f>
        <v>-3.4595425715933104E-3</v>
      </c>
      <c r="G35" s="10">
        <f>('Raw Data_Prices'!G35/'Raw Data_Prices'!G34)-1</f>
        <v>4.6689179268829983E-2</v>
      </c>
      <c r="H35" s="10">
        <f>('Raw Data_Prices'!H35/'Raw Data_Prices'!H34)-1</f>
        <v>1.9260728333406973E-2</v>
      </c>
      <c r="I35" s="10" cm="1">
        <f t="array" ref="I35">SUMPRODUCT(B35:H35,TRANSPOSE($O$2:$O$8))</f>
        <v>1.766723405415813E-2</v>
      </c>
      <c r="J35" s="12">
        <f t="shared" si="0"/>
        <v>117750651.28489441</v>
      </c>
      <c r="K35" s="12">
        <f t="shared" si="2"/>
        <v>122374032.37590975</v>
      </c>
      <c r="L35" s="10">
        <f t="shared" si="1"/>
        <v>-3.7780736658355685E-2</v>
      </c>
    </row>
    <row r="36" spans="1:12" x14ac:dyDescent="0.2">
      <c r="A36" s="1">
        <v>43465</v>
      </c>
      <c r="B36" s="10">
        <f>('Raw Data_Prices'!B36/'Raw Data_Prices'!B35)-1</f>
        <v>-8.8056639446478235E-2</v>
      </c>
      <c r="C36" s="10">
        <f>('Raw Data_Prices'!C36/'Raw Data_Prices'!C35)-1</f>
        <v>-5.3413512557481391E-2</v>
      </c>
      <c r="D36" s="10">
        <f>('Raw Data_Prices'!D36/'Raw Data_Prices'!D35)-1</f>
        <v>-3.4992348858246758E-2</v>
      </c>
      <c r="E36" s="10">
        <f>('Raw Data_Prices'!E36/'Raw Data_Prices'!E35)-1</f>
        <v>2.7629963160049176E-2</v>
      </c>
      <c r="F36" s="10">
        <f>('Raw Data_Prices'!F36/'Raw Data_Prices'!F35)-1</f>
        <v>1.8611378977820614E-2</v>
      </c>
      <c r="G36" s="10">
        <f>('Raw Data_Prices'!G36/'Raw Data_Prices'!G35)-1</f>
        <v>-7.9534296535278437E-2</v>
      </c>
      <c r="H36" s="10">
        <f>('Raw Data_Prices'!H36/'Raw Data_Prices'!H35)-1</f>
        <v>-3.1004999932250255E-2</v>
      </c>
      <c r="I36" s="10" cm="1">
        <f t="array" ref="I36">SUMPRODUCT(B36:H36,TRANSPOSE($O$2:$O$8))</f>
        <v>-3.9845435277438987E-2</v>
      </c>
      <c r="J36" s="12">
        <f t="shared" ref="J36:J67" si="3">J35*(1+I36)</f>
        <v>113058825.33024585</v>
      </c>
      <c r="K36" s="12">
        <f t="shared" si="2"/>
        <v>122374032.37590975</v>
      </c>
      <c r="L36" s="10">
        <f t="shared" si="1"/>
        <v>-7.6120782038540225E-2</v>
      </c>
    </row>
    <row r="37" spans="1:12" x14ac:dyDescent="0.2">
      <c r="A37" s="1">
        <v>43496</v>
      </c>
      <c r="B37" s="10">
        <f>('Raw Data_Prices'!B37/'Raw Data_Prices'!B36)-1</f>
        <v>8.0017644464049464E-2</v>
      </c>
      <c r="C37" s="10">
        <f>('Raw Data_Prices'!C37/'Raw Data_Prices'!C36)-1</f>
        <v>6.6330343796711544E-2</v>
      </c>
      <c r="D37" s="10">
        <f>('Raw Data_Prices'!D37/'Raw Data_Prices'!D36)-1</f>
        <v>0.10341615269600979</v>
      </c>
      <c r="E37" s="10">
        <f>('Raw Data_Prices'!E37/'Raw Data_Prices'!E36)-1</f>
        <v>6.5723959370642682E-3</v>
      </c>
      <c r="F37" s="10">
        <f>('Raw Data_Prices'!F37/'Raw Data_Prices'!F36)-1</f>
        <v>3.370254662501182E-2</v>
      </c>
      <c r="G37" s="10">
        <f>('Raw Data_Prices'!G37/'Raw Data_Prices'!G36)-1</f>
        <v>0.11856141420298694</v>
      </c>
      <c r="H37" s="10">
        <f>('Raw Data_Prices'!H37/'Raw Data_Prices'!H36)-1</f>
        <v>8.4821178865881253E-2</v>
      </c>
      <c r="I37" s="10" cm="1">
        <f t="array" ref="I37">SUMPRODUCT(B37:H37,TRANSPOSE($O$2:$O$8))</f>
        <v>6.4148645700322915E-2</v>
      </c>
      <c r="J37" s="12">
        <f t="shared" si="3"/>
        <v>120311395.85965048</v>
      </c>
      <c r="K37" s="12">
        <f t="shared" si="2"/>
        <v>122374032.37590975</v>
      </c>
      <c r="L37" s="10">
        <f t="shared" si="1"/>
        <v>-1.6855181415639242E-2</v>
      </c>
    </row>
    <row r="38" spans="1:12" x14ac:dyDescent="0.2">
      <c r="A38" s="1">
        <v>43524</v>
      </c>
      <c r="B38" s="10">
        <f>('Raw Data_Prices'!B38/'Raw Data_Prices'!B37)-1</f>
        <v>3.2551870609377476E-2</v>
      </c>
      <c r="C38" s="10">
        <f>('Raw Data_Prices'!C38/'Raw Data_Prices'!C37)-1</f>
        <v>2.5407394427895635E-2</v>
      </c>
      <c r="D38" s="10">
        <f>('Raw Data_Prices'!D38/'Raw Data_Prices'!D37)-1</f>
        <v>-1.5291984808585624E-2</v>
      </c>
      <c r="E38" s="10">
        <f>('Raw Data_Prices'!E38/'Raw Data_Prices'!E37)-1</f>
        <v>-5.3423031262365139E-3</v>
      </c>
      <c r="F38" s="10">
        <f>('Raw Data_Prices'!F38/'Raw Data_Prices'!F37)-1</f>
        <v>-2.1980034801721837E-3</v>
      </c>
      <c r="G38" s="10">
        <f>('Raw Data_Prices'!G38/'Raw Data_Prices'!G37)-1</f>
        <v>6.9482288828337513E-3</v>
      </c>
      <c r="H38" s="10">
        <f>('Raw Data_Prices'!H38/'Raw Data_Prices'!H37)-1</f>
        <v>2.6901748678114901E-2</v>
      </c>
      <c r="I38" s="10" cm="1">
        <f t="array" ref="I38">SUMPRODUCT(B38:H38,TRANSPOSE($O$2:$O$8))</f>
        <v>1.4908807889398652E-2</v>
      </c>
      <c r="J38" s="12">
        <f t="shared" si="3"/>
        <v>122105095.3474274</v>
      </c>
      <c r="K38" s="12">
        <f t="shared" si="2"/>
        <v>122374032.37590975</v>
      </c>
      <c r="L38" s="10">
        <f t="shared" si="1"/>
        <v>-2.1976641879073444E-3</v>
      </c>
    </row>
    <row r="39" spans="1:12" x14ac:dyDescent="0.2">
      <c r="A39" s="1">
        <v>43555</v>
      </c>
      <c r="B39" s="10">
        <f>('Raw Data_Prices'!B39/'Raw Data_Prices'!B38)-1</f>
        <v>1.7997705786954699E-2</v>
      </c>
      <c r="C39" s="10">
        <f>('Raw Data_Prices'!C39/'Raw Data_Prices'!C38)-1</f>
        <v>9.0567327409432075E-3</v>
      </c>
      <c r="D39" s="10">
        <f>('Raw Data_Prices'!D39/'Raw Data_Prices'!D38)-1</f>
        <v>1.1317854042417252E-2</v>
      </c>
      <c r="E39" s="10">
        <f>('Raw Data_Prices'!E39/'Raw Data_Prices'!E38)-1</f>
        <v>2.7053908891983225E-2</v>
      </c>
      <c r="F39" s="10">
        <f>('Raw Data_Prices'!F39/'Raw Data_Prices'!F38)-1</f>
        <v>2.9463056447911917E-2</v>
      </c>
      <c r="G39" s="10">
        <f>('Raw Data_Prices'!G39/'Raw Data_Prices'!G38)-1</f>
        <v>4.2213502908943434E-2</v>
      </c>
      <c r="H39" s="10">
        <f>('Raw Data_Prices'!H39/'Raw Data_Prices'!H38)-1</f>
        <v>2.1640457110722933E-2</v>
      </c>
      <c r="I39" s="10" cm="1">
        <f t="array" ref="I39">SUMPRODUCT(B39:H39,TRANSPOSE($O$2:$O$8))</f>
        <v>2.2066197774503228E-2</v>
      </c>
      <c r="J39" s="12">
        <f t="shared" si="3"/>
        <v>124799490.53063829</v>
      </c>
      <c r="K39" s="12">
        <f t="shared" si="2"/>
        <v>124799490.53063829</v>
      </c>
      <c r="L39" s="10">
        <f t="shared" si="1"/>
        <v>0</v>
      </c>
    </row>
    <row r="40" spans="1:12" x14ac:dyDescent="0.2">
      <c r="A40" s="1">
        <v>43585</v>
      </c>
      <c r="B40" s="10">
        <f>('Raw Data_Prices'!B40/'Raw Data_Prices'!B39)-1</f>
        <v>4.0915449176251117E-2</v>
      </c>
      <c r="C40" s="10">
        <f>('Raw Data_Prices'!C40/'Raw Data_Prices'!C39)-1</f>
        <v>2.9297205757832456E-2</v>
      </c>
      <c r="D40" s="10">
        <f>('Raw Data_Prices'!D40/'Raw Data_Prices'!D39)-1</f>
        <v>2.3541105246652538E-2</v>
      </c>
      <c r="E40" s="10">
        <f>('Raw Data_Prices'!E40/'Raw Data_Prices'!E39)-1</f>
        <v>-5.1326748014720591E-3</v>
      </c>
      <c r="F40" s="10">
        <f>('Raw Data_Prices'!F40/'Raw Data_Prices'!F39)-1</f>
        <v>4.4579172610557105E-3</v>
      </c>
      <c r="G40" s="10">
        <f>('Raw Data_Prices'!G40/'Raw Data_Prices'!G39)-1</f>
        <v>-1.557834609892339E-3</v>
      </c>
      <c r="H40" s="10">
        <f>('Raw Data_Prices'!H40/'Raw Data_Prices'!H39)-1</f>
        <v>1.497734354266389E-2</v>
      </c>
      <c r="I40" s="10" cm="1">
        <f t="array" ref="I40">SUMPRODUCT(B40:H40,TRANSPOSE($O$2:$O$8))</f>
        <v>1.8607478537971144E-2</v>
      </c>
      <c r="J40" s="12">
        <f t="shared" si="3"/>
        <v>127121694.37223686</v>
      </c>
      <c r="K40" s="12">
        <f t="shared" si="2"/>
        <v>127121694.37223686</v>
      </c>
      <c r="L40" s="10">
        <f t="shared" si="1"/>
        <v>0</v>
      </c>
    </row>
    <row r="41" spans="1:12" x14ac:dyDescent="0.2">
      <c r="A41" s="1">
        <v>43616</v>
      </c>
      <c r="B41" s="10">
        <f>('Raw Data_Prices'!B41/'Raw Data_Prices'!B40)-1</f>
        <v>-6.3869498674829162E-2</v>
      </c>
      <c r="C41" s="10">
        <f>('Raw Data_Prices'!C41/'Raw Data_Prices'!C40)-1</f>
        <v>-5.0345508390918114E-2</v>
      </c>
      <c r="D41" s="10">
        <f>('Raw Data_Prices'!D41/'Raw Data_Prices'!D40)-1</f>
        <v>-7.3337730048605998E-2</v>
      </c>
      <c r="E41" s="10">
        <f>('Raw Data_Prices'!E41/'Raw Data_Prices'!E40)-1</f>
        <v>3.0370875109510198E-2</v>
      </c>
      <c r="F41" s="10">
        <f>('Raw Data_Prices'!F41/'Raw Data_Prices'!F40)-1</f>
        <v>1.6154802059293427E-2</v>
      </c>
      <c r="G41" s="10">
        <f>('Raw Data_Prices'!G41/'Raw Data_Prices'!G40)-1</f>
        <v>1.3002210375765433E-3</v>
      </c>
      <c r="H41" s="10">
        <f>('Raw Data_Prices'!H41/'Raw Data_Prices'!H40)-1</f>
        <v>-1.7143493534571341E-2</v>
      </c>
      <c r="I41" s="10" cm="1">
        <f t="array" ref="I41">SUMPRODUCT(B41:H41,TRANSPOSE($O$2:$O$8))</f>
        <v>-2.4274234385384862E-2</v>
      </c>
      <c r="J41" s="12">
        <f t="shared" si="3"/>
        <v>124035912.56757793</v>
      </c>
      <c r="K41" s="12">
        <f t="shared" si="2"/>
        <v>127121694.37223686</v>
      </c>
      <c r="L41" s="10">
        <f t="shared" si="1"/>
        <v>-2.4274234385384785E-2</v>
      </c>
    </row>
    <row r="42" spans="1:12" x14ac:dyDescent="0.2">
      <c r="A42" s="1">
        <v>43646</v>
      </c>
      <c r="B42" s="10">
        <f>('Raw Data_Prices'!B42/'Raw Data_Prices'!B41)-1</f>
        <v>6.9662652524124624E-2</v>
      </c>
      <c r="C42" s="10">
        <f>('Raw Data_Prices'!C42/'Raw Data_Prices'!C41)-1</f>
        <v>5.9251559251559227E-2</v>
      </c>
      <c r="D42" s="10">
        <f>('Raw Data_Prices'!D42/'Raw Data_Prices'!D41)-1</f>
        <v>6.2052559464934598E-2</v>
      </c>
      <c r="E42" s="10">
        <f>('Raw Data_Prices'!E42/'Raw Data_Prices'!E41)-1</f>
        <v>1.1903637222484775E-2</v>
      </c>
      <c r="F42" s="10">
        <f>('Raw Data_Prices'!F42/'Raw Data_Prices'!F41)-1</f>
        <v>3.2669461914744957E-2</v>
      </c>
      <c r="G42" s="10">
        <f>('Raw Data_Prices'!G42/'Raw Data_Prices'!G41)-1</f>
        <v>1.5582391897156045E-2</v>
      </c>
      <c r="H42" s="10">
        <f>('Raw Data_Prices'!H42/'Raw Data_Prices'!H41)-1</f>
        <v>5.1238785896216665E-2</v>
      </c>
      <c r="I42" s="10" cm="1">
        <f t="array" ref="I42">SUMPRODUCT(B42:H42,TRANSPOSE($O$2:$O$8))</f>
        <v>4.5218949033526724E-2</v>
      </c>
      <c r="J42" s="12">
        <f t="shared" si="3"/>
        <v>129644686.1762982</v>
      </c>
      <c r="K42" s="12">
        <f t="shared" si="2"/>
        <v>129644686.1762982</v>
      </c>
      <c r="L42" s="10">
        <f t="shared" si="1"/>
        <v>0</v>
      </c>
    </row>
    <row r="43" spans="1:12" x14ac:dyDescent="0.2">
      <c r="A43" s="1">
        <v>43677</v>
      </c>
      <c r="B43" s="10">
        <f>('Raw Data_Prices'!B43/'Raw Data_Prices'!B42)-1</f>
        <v>1.5060577819198562E-2</v>
      </c>
      <c r="C43" s="10">
        <f>('Raw Data_Prices'!C43/'Raw Data_Prices'!C42)-1</f>
        <v>-1.9463526333006187E-2</v>
      </c>
      <c r="D43" s="10">
        <f>('Raw Data_Prices'!D43/'Raw Data_Prices'!D42)-1</f>
        <v>-2.6551497611051134E-2</v>
      </c>
      <c r="E43" s="10">
        <f>('Raw Data_Prices'!E43/'Raw Data_Prices'!E42)-1</f>
        <v>3.7344785734294561E-4</v>
      </c>
      <c r="F43" s="10">
        <f>('Raw Data_Prices'!F43/'Raw Data_Prices'!F42)-1</f>
        <v>2.4530536288276394E-3</v>
      </c>
      <c r="G43" s="10">
        <f>('Raw Data_Prices'!G43/'Raw Data_Prices'!G42)-1</f>
        <v>1.7133358905510931E-2</v>
      </c>
      <c r="H43" s="10">
        <f>('Raw Data_Prices'!H43/'Raw Data_Prices'!H42)-1</f>
        <v>-2.0545361242656823E-2</v>
      </c>
      <c r="I43" s="10" cm="1">
        <f t="array" ref="I43">SUMPRODUCT(B43:H43,TRANSPOSE($O$2:$O$8))</f>
        <v>2.4986421589284725E-4</v>
      </c>
      <c r="J43" s="12">
        <f t="shared" si="3"/>
        <v>129677079.7441543</v>
      </c>
      <c r="K43" s="12">
        <f t="shared" si="2"/>
        <v>129677079.7441543</v>
      </c>
      <c r="L43" s="10">
        <f t="shared" si="1"/>
        <v>0</v>
      </c>
    </row>
    <row r="44" spans="1:12" x14ac:dyDescent="0.2">
      <c r="A44" s="1">
        <v>43708</v>
      </c>
      <c r="B44" s="10">
        <f>('Raw Data_Prices'!B44/'Raw Data_Prices'!B43)-1</f>
        <v>-1.6673399684160373E-2</v>
      </c>
      <c r="C44" s="10">
        <f>('Raw Data_Prices'!C44/'Raw Data_Prices'!C43)-1</f>
        <v>-1.9182652210175233E-2</v>
      </c>
      <c r="D44" s="10">
        <f>('Raw Data_Prices'!D44/'Raw Data_Prices'!D43)-1</f>
        <v>-3.7853718293750616E-2</v>
      </c>
      <c r="E44" s="10">
        <f>('Raw Data_Prices'!E44/'Raw Data_Prices'!E43)-1</f>
        <v>3.9664022398506749E-2</v>
      </c>
      <c r="F44" s="10">
        <f>('Raw Data_Prices'!F44/'Raw Data_Prices'!F43)-1</f>
        <v>3.8815289848957768E-2</v>
      </c>
      <c r="G44" s="10">
        <f>('Raw Data_Prices'!G44/'Raw Data_Prices'!G43)-1</f>
        <v>3.7335009428032695E-2</v>
      </c>
      <c r="H44" s="10">
        <f>('Raw Data_Prices'!H44/'Raw Data_Prices'!H43)-1</f>
        <v>4.6244572303497655E-3</v>
      </c>
      <c r="I44" s="10" cm="1">
        <f t="array" ref="I44">SUMPRODUCT(B44:H44,TRANSPOSE($O$2:$O$8))</f>
        <v>6.2381764789734458E-3</v>
      </c>
      <c r="J44" s="12">
        <f t="shared" si="3"/>
        <v>130486028.25287625</v>
      </c>
      <c r="K44" s="12">
        <f t="shared" si="2"/>
        <v>130486028.25287625</v>
      </c>
      <c r="L44" s="10">
        <f t="shared" si="1"/>
        <v>0</v>
      </c>
    </row>
    <row r="45" spans="1:12" x14ac:dyDescent="0.2">
      <c r="A45" s="1">
        <v>43738</v>
      </c>
      <c r="B45" s="10">
        <f>('Raw Data_Prices'!B45/'Raw Data_Prices'!B44)-1</f>
        <v>1.9421101774042882E-2</v>
      </c>
      <c r="C45" s="10">
        <f>('Raw Data_Prices'!C45/'Raw Data_Prices'!C44)-1</f>
        <v>3.1632653061224536E-2</v>
      </c>
      <c r="D45" s="10">
        <f>('Raw Data_Prices'!D45/'Raw Data_Prices'!D44)-1</f>
        <v>1.6946192458719089E-2</v>
      </c>
      <c r="E45" s="10">
        <f>('Raw Data_Prices'!E45/'Raw Data_Prices'!E44)-1</f>
        <v>-1.1938958707360947E-2</v>
      </c>
      <c r="F45" s="10">
        <f>('Raw Data_Prices'!F45/'Raw Data_Prices'!F44)-1</f>
        <v>-7.4729916334984603E-3</v>
      </c>
      <c r="G45" s="10">
        <f>('Raw Data_Prices'!G45/'Raw Data_Prices'!G44)-1</f>
        <v>1.9268056228793018E-2</v>
      </c>
      <c r="H45" s="10">
        <f>('Raw Data_Prices'!H45/'Raw Data_Prices'!H44)-1</f>
        <v>2.224190813663296E-2</v>
      </c>
      <c r="I45" s="10" cm="1">
        <f t="array" ref="I45">SUMPRODUCT(B45:H45,TRANSPOSE($O$2:$O$8))</f>
        <v>1.243444364605306E-2</v>
      </c>
      <c r="J45" s="12">
        <f t="shared" si="3"/>
        <v>132108549.41778393</v>
      </c>
      <c r="K45" s="12">
        <f t="shared" si="2"/>
        <v>132108549.41778393</v>
      </c>
      <c r="L45" s="10">
        <f t="shared" si="1"/>
        <v>0</v>
      </c>
    </row>
    <row r="46" spans="1:12" x14ac:dyDescent="0.2">
      <c r="A46" s="1">
        <v>43769</v>
      </c>
      <c r="B46" s="10">
        <f>('Raw Data_Prices'!B46/'Raw Data_Prices'!B45)-1</f>
        <v>2.2128594980765692E-2</v>
      </c>
      <c r="C46" s="10">
        <f>('Raw Data_Prices'!C46/'Raw Data_Prices'!C45)-1</f>
        <v>3.3794922518958215E-2</v>
      </c>
      <c r="D46" s="10">
        <f>('Raw Data_Prices'!D46/'Raw Data_Prices'!D45)-1</f>
        <v>4.1853405055647386E-2</v>
      </c>
      <c r="E46" s="10">
        <f>('Raw Data_Prices'!E46/'Raw Data_Prices'!E45)-1</f>
        <v>1.9078768056692841E-3</v>
      </c>
      <c r="F46" s="10">
        <f>('Raw Data_Prices'!F46/'Raw Data_Prices'!F45)-1</f>
        <v>4.5011866764874675E-3</v>
      </c>
      <c r="G46" s="10">
        <f>('Raw Data_Prices'!G46/'Raw Data_Prices'!G45)-1</f>
        <v>1.129473308762341E-2</v>
      </c>
      <c r="H46" s="10">
        <f>('Raw Data_Prices'!H46/'Raw Data_Prices'!H45)-1</f>
        <v>1.5048873896959414E-2</v>
      </c>
      <c r="I46" s="10" cm="1">
        <f t="array" ref="I46">SUMPRODUCT(B46:H46,TRANSPOSE($O$2:$O$8))</f>
        <v>1.7266541852096699E-2</v>
      </c>
      <c r="J46" s="12">
        <f t="shared" si="3"/>
        <v>134389607.21532589</v>
      </c>
      <c r="K46" s="12">
        <f t="shared" si="2"/>
        <v>134389607.21532589</v>
      </c>
      <c r="L46" s="10">
        <f t="shared" si="1"/>
        <v>0</v>
      </c>
    </row>
    <row r="47" spans="1:12" x14ac:dyDescent="0.2">
      <c r="A47" s="1">
        <v>43799</v>
      </c>
      <c r="B47" s="10">
        <f>('Raw Data_Prices'!B47/'Raw Data_Prices'!B46)-1</f>
        <v>3.6130327251872707E-2</v>
      </c>
      <c r="C47" s="10">
        <f>('Raw Data_Prices'!C47/'Raw Data_Prices'!C46)-1</f>
        <v>1.1321958220379624E-2</v>
      </c>
      <c r="D47" s="10">
        <f>('Raw Data_Prices'!D47/'Raw Data_Prices'!D46)-1</f>
        <v>-9.4381759595030257E-4</v>
      </c>
      <c r="E47" s="10">
        <f>('Raw Data_Prices'!E47/'Raw Data_Prices'!E46)-1</f>
        <v>-6.8915487849111612E-3</v>
      </c>
      <c r="F47" s="10">
        <f>('Raw Data_Prices'!F47/'Raw Data_Prices'!F46)-1</f>
        <v>4.7254358807233832E-3</v>
      </c>
      <c r="G47" s="10">
        <f>('Raw Data_Prices'!G47/'Raw Data_Prices'!G46)-1</f>
        <v>-1.3049612038561031E-2</v>
      </c>
      <c r="H47" s="10">
        <f>('Raw Data_Prices'!H47/'Raw Data_Prices'!H46)-1</f>
        <v>-7.6286123453163102E-3</v>
      </c>
      <c r="I47" s="10" cm="1">
        <f t="array" ref="I47">SUMPRODUCT(B47:H47,TRANSPOSE($O$2:$O$8))</f>
        <v>9.5166124215236118E-3</v>
      </c>
      <c r="J47" s="12">
        <f t="shared" si="3"/>
        <v>135668541.02067494</v>
      </c>
      <c r="K47" s="12">
        <f t="shared" si="2"/>
        <v>135668541.02067494</v>
      </c>
      <c r="L47" s="10">
        <f t="shared" si="1"/>
        <v>0</v>
      </c>
    </row>
    <row r="48" spans="1:12" x14ac:dyDescent="0.2">
      <c r="A48" s="1">
        <v>43830</v>
      </c>
      <c r="B48" s="10">
        <f>('Raw Data_Prices'!B48/'Raw Data_Prices'!B47)-1</f>
        <v>2.9093299200885658E-2</v>
      </c>
      <c r="C48" s="10">
        <f>('Raw Data_Prices'!C48/'Raw Data_Prices'!C47)-1</f>
        <v>2.9959003468937206E-2</v>
      </c>
      <c r="D48" s="10">
        <f>('Raw Data_Prices'!D48/'Raw Data_Prices'!D47)-1</f>
        <v>7.0744084922706785E-2</v>
      </c>
      <c r="E48" s="10">
        <f>('Raw Data_Prices'!E48/'Raw Data_Prices'!E47)-1</f>
        <v>-9.4046749452154632E-3</v>
      </c>
      <c r="F48" s="10">
        <f>('Raw Data_Prices'!F48/'Raw Data_Prices'!F47)-1</f>
        <v>5.4330197859229212E-3</v>
      </c>
      <c r="G48" s="10">
        <f>('Raw Data_Prices'!G48/'Raw Data_Prices'!G47)-1</f>
        <v>7.7427039904705008E-3</v>
      </c>
      <c r="H48" s="10">
        <f>('Raw Data_Prices'!H48/'Raw Data_Prices'!H47)-1</f>
        <v>4.0533852600808329E-2</v>
      </c>
      <c r="I48" s="10" cm="1">
        <f t="array" ref="I48">SUMPRODUCT(B48:H48,TRANSPOSE($O$2:$O$8))</f>
        <v>2.0249067175418703E-2</v>
      </c>
      <c r="J48" s="12">
        <f t="shared" si="3"/>
        <v>138415702.42139363</v>
      </c>
      <c r="K48" s="12">
        <f t="shared" si="2"/>
        <v>138415702.42139363</v>
      </c>
      <c r="L48" s="10">
        <f t="shared" si="1"/>
        <v>0</v>
      </c>
    </row>
    <row r="49" spans="1:12" x14ac:dyDescent="0.2">
      <c r="A49" s="1">
        <v>43861</v>
      </c>
      <c r="B49" s="10">
        <f>('Raw Data_Prices'!B49/'Raw Data_Prices'!B48)-1</f>
        <v>-4.3700416834746569E-4</v>
      </c>
      <c r="C49" s="10">
        <f>('Raw Data_Prices'!C49/'Raw Data_Prices'!C48)-1</f>
        <v>-2.8169014084507005E-2</v>
      </c>
      <c r="D49" s="10">
        <f>('Raw Data_Prices'!D49/'Raw Data_Prices'!D48)-1</f>
        <v>-6.149701387559936E-2</v>
      </c>
      <c r="E49" s="10">
        <f>('Raw Data_Prices'!E49/'Raw Data_Prices'!E48)-1</f>
        <v>3.4841920914369995E-2</v>
      </c>
      <c r="F49" s="10">
        <f>('Raw Data_Prices'!F49/'Raw Data_Prices'!F48)-1</f>
        <v>2.4356802967981261E-2</v>
      </c>
      <c r="G49" s="10">
        <f>('Raw Data_Prices'!G49/'Raw Data_Prices'!G48)-1</f>
        <v>1.2174940898345143E-2</v>
      </c>
      <c r="H49" s="10">
        <f>('Raw Data_Prices'!H49/'Raw Data_Prices'!H48)-1</f>
        <v>1.229744116320064E-2</v>
      </c>
      <c r="I49" s="10" cm="1">
        <f t="array" ref="I49">SUMPRODUCT(B49:H49,TRANSPOSE($O$2:$O$8))</f>
        <v>4.4199986288664455E-3</v>
      </c>
      <c r="J49" s="12">
        <f t="shared" si="3"/>
        <v>139027499.63630977</v>
      </c>
      <c r="K49" s="12">
        <f t="shared" si="2"/>
        <v>139027499.63630977</v>
      </c>
      <c r="L49" s="10">
        <f t="shared" si="1"/>
        <v>0</v>
      </c>
    </row>
    <row r="50" spans="1:12" x14ac:dyDescent="0.2">
      <c r="A50" s="1">
        <v>43890</v>
      </c>
      <c r="B50" s="10">
        <f>('Raw Data_Prices'!B50/'Raw Data_Prices'!B49)-1</f>
        <v>-7.9098705229527666E-2</v>
      </c>
      <c r="C50" s="10">
        <f>('Raw Data_Prices'!C50/'Raw Data_Prices'!C49)-1</f>
        <v>-7.7662255828607418E-2</v>
      </c>
      <c r="D50" s="10">
        <f>('Raw Data_Prices'!D50/'Raw Data_Prices'!D49)-1</f>
        <v>-3.7784315854423878E-2</v>
      </c>
      <c r="E50" s="10">
        <f>('Raw Data_Prices'!E50/'Raw Data_Prices'!E49)-1</f>
        <v>2.9571568540126547E-2</v>
      </c>
      <c r="F50" s="10">
        <f>('Raw Data_Prices'!F50/'Raw Data_Prices'!F49)-1</f>
        <v>1.1022754113849231E-2</v>
      </c>
      <c r="G50" s="10">
        <f>('Raw Data_Prices'!G50/'Raw Data_Prices'!G49)-1</f>
        <v>-7.018568258787794E-2</v>
      </c>
      <c r="H50" s="10">
        <f>('Raw Data_Prices'!H50/'Raw Data_Prices'!H49)-1</f>
        <v>-8.9888553211669775E-2</v>
      </c>
      <c r="I50" s="10" cm="1">
        <f t="array" ref="I50">SUMPRODUCT(B50:H50,TRANSPOSE($O$2:$O$8))</f>
        <v>-4.625900019641515E-2</v>
      </c>
      <c r="J50" s="12">
        <f t="shared" si="3"/>
        <v>132596226.50332661</v>
      </c>
      <c r="K50" s="12">
        <f t="shared" si="2"/>
        <v>139027499.63630977</v>
      </c>
      <c r="L50" s="10">
        <f t="shared" si="1"/>
        <v>-4.6259000196415156E-2</v>
      </c>
    </row>
    <row r="51" spans="1:12" x14ac:dyDescent="0.2">
      <c r="A51" s="1">
        <v>43921</v>
      </c>
      <c r="B51" s="10">
        <f>('Raw Data_Prices'!B51/'Raw Data_Prices'!B50)-1</f>
        <v>-0.12485848884344297</v>
      </c>
      <c r="C51" s="10">
        <f>('Raw Data_Prices'!C51/'Raw Data_Prices'!C50)-1</f>
        <v>-0.14107600341588389</v>
      </c>
      <c r="D51" s="10">
        <f>('Raw Data_Prices'!D51/'Raw Data_Prices'!D50)-1</f>
        <v>-0.15770787865110392</v>
      </c>
      <c r="E51" s="10">
        <f>('Raw Data_Prices'!E51/'Raw Data_Prices'!E50)-1</f>
        <v>3.7373475214118823E-2</v>
      </c>
      <c r="F51" s="10">
        <f>('Raw Data_Prices'!F51/'Raw Data_Prices'!F50)-1</f>
        <v>-6.5649092749785809E-2</v>
      </c>
      <c r="G51" s="10">
        <f>('Raw Data_Prices'!G51/'Raw Data_Prices'!G50)-1</f>
        <v>-0.19392112534539052</v>
      </c>
      <c r="H51" s="10">
        <f>('Raw Data_Prices'!H51/'Raw Data_Prices'!H50)-1</f>
        <v>-0.22630107376430264</v>
      </c>
      <c r="I51" s="10" cm="1">
        <f t="array" ref="I51">SUMPRODUCT(B51:H51,TRANSPOSE($O$2:$O$8))</f>
        <v>-0.10761677524109481</v>
      </c>
      <c r="J51" s="12">
        <f t="shared" si="3"/>
        <v>118326648.19790082</v>
      </c>
      <c r="K51" s="12">
        <f t="shared" si="2"/>
        <v>139027499.63630977</v>
      </c>
      <c r="L51" s="10">
        <f t="shared" si="1"/>
        <v>-0.14889753101049452</v>
      </c>
    </row>
    <row r="52" spans="1:12" x14ac:dyDescent="0.2">
      <c r="A52" s="1">
        <v>43951</v>
      </c>
      <c r="B52" s="10">
        <f>('Raw Data_Prices'!B52/'Raw Data_Prices'!B51)-1</f>
        <v>0.12698213987648144</v>
      </c>
      <c r="C52" s="10">
        <f>('Raw Data_Prices'!C52/'Raw Data_Prices'!C51)-1</f>
        <v>5.8063233247166446E-2</v>
      </c>
      <c r="D52" s="10">
        <f>('Raw Data_Prices'!D52/'Raw Data_Prices'!D51)-1</f>
        <v>7.3551034811760285E-2</v>
      </c>
      <c r="E52" s="10">
        <f>('Raw Data_Prices'!E52/'Raw Data_Prices'!E51)-1</f>
        <v>2.5852722875490119E-3</v>
      </c>
      <c r="F52" s="10">
        <f>('Raw Data_Prices'!F52/'Raw Data_Prices'!F51)-1</f>
        <v>4.8424737456242761E-2</v>
      </c>
      <c r="G52" s="10">
        <f>('Raw Data_Prices'!G52/'Raw Data_Prices'!G51)-1</f>
        <v>8.9591773138049335E-2</v>
      </c>
      <c r="H52" s="10">
        <f>('Raw Data_Prices'!H52/'Raw Data_Prices'!H51)-1</f>
        <v>7.8480649546639469E-2</v>
      </c>
      <c r="I52" s="10" cm="1">
        <f t="array" ref="I52">SUMPRODUCT(B52:H52,TRANSPOSE($O$2:$O$8))</f>
        <v>7.2648449162210374E-2</v>
      </c>
      <c r="J52" s="12">
        <f t="shared" si="3"/>
        <v>126922895.68404077</v>
      </c>
      <c r="K52" s="12">
        <f t="shared" si="2"/>
        <v>139027499.63630977</v>
      </c>
      <c r="L52" s="10">
        <f t="shared" si="1"/>
        <v>-8.7066256560278665E-2</v>
      </c>
    </row>
    <row r="53" spans="1:12" x14ac:dyDescent="0.2">
      <c r="A53" s="1">
        <v>43982</v>
      </c>
      <c r="B53" s="10">
        <f>('Raw Data_Prices'!B53/'Raw Data_Prices'!B52)-1</f>
        <v>4.7617284407746263E-2</v>
      </c>
      <c r="C53" s="10">
        <f>('Raw Data_Prices'!C53/'Raw Data_Prices'!C52)-1</f>
        <v>5.4313099041533475E-2</v>
      </c>
      <c r="D53" s="10">
        <f>('Raw Data_Prices'!D53/'Raw Data_Prices'!D52)-1</f>
        <v>2.9742266158584663E-2</v>
      </c>
      <c r="E53" s="10">
        <f>('Raw Data_Prices'!E53/'Raw Data_Prices'!E52)-1</f>
        <v>2.2458825486606493E-3</v>
      </c>
      <c r="F53" s="10">
        <f>('Raw Data_Prices'!F53/'Raw Data_Prices'!F52)-1</f>
        <v>2.2179823515382724E-2</v>
      </c>
      <c r="G53" s="10">
        <f>('Raw Data_Prices'!G53/'Raw Data_Prices'!G52)-1</f>
        <v>1.730301730301731E-2</v>
      </c>
      <c r="H53" s="10">
        <f>('Raw Data_Prices'!H53/'Raw Data_Prices'!H52)-1</f>
        <v>6.0253956505900819E-2</v>
      </c>
      <c r="I53" s="10" cm="1">
        <f t="array" ref="I53">SUMPRODUCT(B53:H53,TRANSPOSE($O$2:$O$8))</f>
        <v>3.434211972864535E-2</v>
      </c>
      <c r="J53" s="12">
        <f t="shared" si="3"/>
        <v>131281696.96392846</v>
      </c>
      <c r="K53" s="12">
        <f t="shared" si="2"/>
        <v>139027499.63630977</v>
      </c>
      <c r="L53" s="10">
        <f t="shared" si="1"/>
        <v>-5.5714176638751445E-2</v>
      </c>
    </row>
    <row r="54" spans="1:12" x14ac:dyDescent="0.2">
      <c r="A54" s="1">
        <v>44012</v>
      </c>
      <c r="B54" s="10">
        <f>('Raw Data_Prices'!B54/'Raw Data_Prices'!B53)-1</f>
        <v>1.7742904605379417E-2</v>
      </c>
      <c r="C54" s="10">
        <f>('Raw Data_Prices'!C54/'Raw Data_Prices'!C53)-1</f>
        <v>3.511586452762927E-2</v>
      </c>
      <c r="D54" s="10">
        <f>('Raw Data_Prices'!D54/'Raw Data_Prices'!D53)-1</f>
        <v>6.6077888912534632E-2</v>
      </c>
      <c r="E54" s="10">
        <f>('Raw Data_Prices'!E54/'Raw Data_Prices'!E53)-1</f>
        <v>4.149721968629283E-4</v>
      </c>
      <c r="F54" s="10">
        <f>('Raw Data_Prices'!F54/'Raw Data_Prices'!F53)-1</f>
        <v>2.1076372686265277E-2</v>
      </c>
      <c r="G54" s="10">
        <f>('Raw Data_Prices'!G54/'Raw Data_Prices'!G53)-1</f>
        <v>2.4318245712679376E-2</v>
      </c>
      <c r="H54" s="10">
        <f>('Raw Data_Prices'!H54/'Raw Data_Prices'!H53)-1</f>
        <v>-8.3931643974946013E-3</v>
      </c>
      <c r="I54" s="10" cm="1">
        <f t="array" ref="I54">SUMPRODUCT(B54:H54,TRANSPOSE($O$2:$O$8))</f>
        <v>1.767728534590254E-2</v>
      </c>
      <c r="J54" s="12">
        <f t="shared" si="3"/>
        <v>133602400.98185414</v>
      </c>
      <c r="K54" s="12">
        <f t="shared" si="2"/>
        <v>139027499.63630977</v>
      </c>
      <c r="L54" s="10">
        <f t="shared" si="1"/>
        <v>-3.9021766691104021E-2</v>
      </c>
    </row>
    <row r="55" spans="1:12" x14ac:dyDescent="0.2">
      <c r="A55" s="1">
        <v>44043</v>
      </c>
      <c r="B55" s="10">
        <f>('Raw Data_Prices'!B55/'Raw Data_Prices'!B54)-1</f>
        <v>5.8864386178155925E-2</v>
      </c>
      <c r="C55" s="10">
        <f>('Raw Data_Prices'!C55/'Raw Data_Prices'!C54)-1</f>
        <v>1.9287067332529606E-2</v>
      </c>
      <c r="D55" s="10">
        <f>('Raw Data_Prices'!D55/'Raw Data_Prices'!D54)-1</f>
        <v>8.2515442880748857E-2</v>
      </c>
      <c r="E55" s="10">
        <f>('Raw Data_Prices'!E55/'Raw Data_Prices'!E54)-1</f>
        <v>8.544881367180901E-3</v>
      </c>
      <c r="F55" s="10">
        <f>('Raw Data_Prices'!F55/'Raw Data_Prices'!F54)-1</f>
        <v>3.1000076167263524E-2</v>
      </c>
      <c r="G55" s="10">
        <f>('Raw Data_Prices'!G55/'Raw Data_Prices'!G54)-1</f>
        <v>3.6366131466995855E-2</v>
      </c>
      <c r="H55" s="10">
        <f>('Raw Data_Prices'!H55/'Raw Data_Prices'!H54)-1</f>
        <v>2.2213728072949523E-2</v>
      </c>
      <c r="I55" s="10" cm="1">
        <f t="array" ref="I55">SUMPRODUCT(B55:H55,TRANSPOSE($O$2:$O$8))</f>
        <v>3.5345117941520732E-2</v>
      </c>
      <c r="J55" s="12">
        <f t="shared" si="3"/>
        <v>138324593.60182813</v>
      </c>
      <c r="K55" s="12">
        <f t="shared" si="2"/>
        <v>139027499.63630977</v>
      </c>
      <c r="L55" s="10">
        <f t="shared" si="1"/>
        <v>-5.0558776955668128E-3</v>
      </c>
    </row>
    <row r="56" spans="1:12" x14ac:dyDescent="0.2">
      <c r="A56" s="1">
        <v>44074</v>
      </c>
      <c r="B56" s="10">
        <f>('Raw Data_Prices'!B56/'Raw Data_Prices'!B55)-1</f>
        <v>6.9826172515578877E-2</v>
      </c>
      <c r="C56" s="10">
        <f>('Raw Data_Prices'!C56/'Raw Data_Prices'!C55)-1</f>
        <v>4.7305288055414785E-2</v>
      </c>
      <c r="D56" s="10">
        <f>('Raw Data_Prices'!D56/'Raw Data_Prices'!D55)-1</f>
        <v>2.8877232703113709E-2</v>
      </c>
      <c r="E56" s="10">
        <f>('Raw Data_Prices'!E56/'Raw Data_Prices'!E55)-1</f>
        <v>-9.7063420251706223E-3</v>
      </c>
      <c r="F56" s="10">
        <f>('Raw Data_Prices'!F56/'Raw Data_Prices'!F55)-1</f>
        <v>-1.7656619385342909E-2</v>
      </c>
      <c r="G56" s="10">
        <f>('Raw Data_Prices'!G56/'Raw Data_Prices'!G55)-1</f>
        <v>4.3697033898304483E-3</v>
      </c>
      <c r="H56" s="10">
        <f>('Raw Data_Prices'!H56/'Raw Data_Prices'!H55)-1</f>
        <v>1.5336523846801731E-2</v>
      </c>
      <c r="I56" s="10" cm="1">
        <f t="array" ref="I56">SUMPRODUCT(B56:H56,TRANSPOSE($O$2:$O$8))</f>
        <v>2.7751198978236372E-2</v>
      </c>
      <c r="J56" s="12">
        <f t="shared" si="3"/>
        <v>142163266.92245615</v>
      </c>
      <c r="K56" s="12">
        <f t="shared" si="2"/>
        <v>142163266.92245615</v>
      </c>
      <c r="L56" s="10">
        <f t="shared" si="1"/>
        <v>0</v>
      </c>
    </row>
    <row r="57" spans="1:12" x14ac:dyDescent="0.2">
      <c r="A57" s="1">
        <v>44104</v>
      </c>
      <c r="B57" s="10">
        <f>('Raw Data_Prices'!B57/'Raw Data_Prices'!B56)-1</f>
        <v>-3.7432171433826822E-2</v>
      </c>
      <c r="C57" s="10">
        <f>('Raw Data_Prices'!C57/'Raw Data_Prices'!C56)-1</f>
        <v>-2.0487175350863085E-2</v>
      </c>
      <c r="D57" s="10">
        <f>('Raw Data_Prices'!D57/'Raw Data_Prices'!D56)-1</f>
        <v>-1.0101538132186283E-2</v>
      </c>
      <c r="E57" s="10">
        <f>('Raw Data_Prices'!E57/'Raw Data_Prices'!E56)-1</f>
        <v>2.574964698064619E-3</v>
      </c>
      <c r="F57" s="10">
        <f>('Raw Data_Prices'!F57/'Raw Data_Prices'!F56)-1</f>
        <v>-6.6180341430397416E-3</v>
      </c>
      <c r="G57" s="10">
        <f>('Raw Data_Prices'!G57/'Raw Data_Prices'!G56)-1</f>
        <v>-2.6499670402109321E-2</v>
      </c>
      <c r="H57" s="10">
        <f>('Raw Data_Prices'!H57/'Raw Data_Prices'!H56)-1</f>
        <v>-2.9216168381784202E-2</v>
      </c>
      <c r="I57" s="10" cm="1">
        <f t="array" ref="I57">SUMPRODUCT(B57:H57,TRANSPOSE($O$2:$O$8))</f>
        <v>-2.0526198992467225E-2</v>
      </c>
      <c r="J57" s="12">
        <f t="shared" si="3"/>
        <v>139245195.41618657</v>
      </c>
      <c r="K57" s="12">
        <f t="shared" si="2"/>
        <v>142163266.92245615</v>
      </c>
      <c r="L57" s="10">
        <f t="shared" si="1"/>
        <v>-2.0526198992467215E-2</v>
      </c>
    </row>
    <row r="58" spans="1:12" x14ac:dyDescent="0.2">
      <c r="A58" s="1">
        <v>44135</v>
      </c>
      <c r="B58" s="10">
        <f>('Raw Data_Prices'!B58/'Raw Data_Prices'!B57)-1</f>
        <v>-2.4937894133384431E-2</v>
      </c>
      <c r="C58" s="10">
        <f>('Raw Data_Prices'!C58/'Raw Data_Prices'!C57)-1</f>
        <v>-3.5408432147562507E-2</v>
      </c>
      <c r="D58" s="10">
        <f>('Raw Data_Prices'!D58/'Raw Data_Prices'!D57)-1</f>
        <v>1.4074731619486913E-2</v>
      </c>
      <c r="E58" s="10">
        <f>('Raw Data_Prices'!E58/'Raw Data_Prices'!E57)-1</f>
        <v>-1.37531068765534E-2</v>
      </c>
      <c r="F58" s="10">
        <f>('Raw Data_Prices'!F58/'Raw Data_Prices'!F57)-1</f>
        <v>-5.1480051480051747E-3</v>
      </c>
      <c r="G58" s="10">
        <f>('Raw Data_Prices'!G58/'Raw Data_Prices'!G57)-1</f>
        <v>-3.0065005417118096E-2</v>
      </c>
      <c r="H58" s="10">
        <f>('Raw Data_Prices'!H58/'Raw Data_Prices'!H57)-1</f>
        <v>-1.1869509089767694E-2</v>
      </c>
      <c r="I58" s="10" cm="1">
        <f t="array" ref="I58">SUMPRODUCT(B58:H58,TRANSPOSE($O$2:$O$8))</f>
        <v>-1.9547769821975133E-2</v>
      </c>
      <c r="J58" s="12">
        <f t="shared" si="3"/>
        <v>136523262.387375</v>
      </c>
      <c r="K58" s="12">
        <f t="shared" si="2"/>
        <v>142163266.92245615</v>
      </c>
      <c r="L58" s="10">
        <f t="shared" si="1"/>
        <v>-3.9672727401217633E-2</v>
      </c>
    </row>
    <row r="59" spans="1:12" x14ac:dyDescent="0.2">
      <c r="A59" s="1">
        <v>44165</v>
      </c>
      <c r="B59" s="10">
        <f>('Raw Data_Prices'!B59/'Raw Data_Prices'!B58)-1</f>
        <v>0.10873754695410764</v>
      </c>
      <c r="C59" s="10">
        <f>('Raw Data_Prices'!C59/'Raw Data_Prices'!C58)-1</f>
        <v>0.14256445279153152</v>
      </c>
      <c r="D59" s="10">
        <f>('Raw Data_Prices'!D59/'Raw Data_Prices'!D58)-1</f>
        <v>8.9884937757278127E-2</v>
      </c>
      <c r="E59" s="10">
        <f>('Raw Data_Prices'!E59/'Raw Data_Prices'!E58)-1</f>
        <v>2.7721774193547599E-3</v>
      </c>
      <c r="F59" s="10">
        <f>('Raw Data_Prices'!F59/'Raw Data_Prices'!F58)-1</f>
        <v>3.5537630317327595E-2</v>
      </c>
      <c r="G59" s="10">
        <f>('Raw Data_Prices'!G59/'Raw Data_Prices'!G58)-1</f>
        <v>9.676068137391769E-2</v>
      </c>
      <c r="H59" s="10">
        <f>('Raw Data_Prices'!H59/'Raw Data_Prices'!H58)-1</f>
        <v>0.12798161590047852</v>
      </c>
      <c r="I59" s="10" cm="1">
        <f t="array" ref="I59">SUMPRODUCT(B59:H59,TRANSPOSE($O$2:$O$8))</f>
        <v>8.5082607135869265E-2</v>
      </c>
      <c r="J59" s="12">
        <f t="shared" si="3"/>
        <v>148139017.48598722</v>
      </c>
      <c r="K59" s="12">
        <f t="shared" si="2"/>
        <v>148139017.48598722</v>
      </c>
      <c r="L59" s="10">
        <f t="shared" si="1"/>
        <v>0</v>
      </c>
    </row>
    <row r="60" spans="1:12" x14ac:dyDescent="0.2">
      <c r="A60" s="1">
        <v>44196</v>
      </c>
      <c r="B60" s="10">
        <f>('Raw Data_Prices'!B60/'Raw Data_Prices'!B59)-1</f>
        <v>3.7061041715767074E-2</v>
      </c>
      <c r="C60" s="10">
        <f>('Raw Data_Prices'!C60/'Raw Data_Prices'!C59)-1</f>
        <v>5.0209205020920411E-2</v>
      </c>
      <c r="D60" s="10">
        <f>('Raw Data_Prices'!D60/'Raw Data_Prices'!D59)-1</f>
        <v>7.1329921935259444E-2</v>
      </c>
      <c r="E60" s="10">
        <f>('Raw Data_Prices'!E60/'Raw Data_Prices'!E59)-1</f>
        <v>-3.0996062662310697E-3</v>
      </c>
      <c r="F60" s="10">
        <f>('Raw Data_Prices'!F60/'Raw Data_Prices'!F59)-1</f>
        <v>-5.1440329218122027E-4</v>
      </c>
      <c r="G60" s="10">
        <f>('Raw Data_Prices'!G60/'Raw Data_Prices'!G59)-1</f>
        <v>2.7371101209420878E-2</v>
      </c>
      <c r="H60" s="10">
        <f>('Raw Data_Prices'!H60/'Raw Data_Prices'!H59)-1</f>
        <v>3.0140454665660954E-2</v>
      </c>
      <c r="I60" s="10" cm="1">
        <f t="array" ref="I60">SUMPRODUCT(B60:H60,TRANSPOSE($O$2:$O$8))</f>
        <v>2.7295983369674998E-2</v>
      </c>
      <c r="J60" s="12">
        <f t="shared" si="3"/>
        <v>152182617.64368474</v>
      </c>
      <c r="K60" s="12">
        <f t="shared" si="2"/>
        <v>152182617.64368474</v>
      </c>
      <c r="L60" s="10">
        <f t="shared" si="1"/>
        <v>0</v>
      </c>
    </row>
    <row r="61" spans="1:12" x14ac:dyDescent="0.2">
      <c r="A61" s="1">
        <v>44227</v>
      </c>
      <c r="B61" s="10">
        <f>('Raw Data_Prices'!B61/'Raw Data_Prices'!B60)-1</f>
        <v>-1.0198284188398299E-2</v>
      </c>
      <c r="C61" s="10">
        <f>('Raw Data_Prices'!C61/'Raw Data_Prices'!C60)-1</f>
        <v>-7.825839499146281E-3</v>
      </c>
      <c r="D61" s="10">
        <f>('Raw Data_Prices'!D61/'Raw Data_Prices'!D60)-1</f>
        <v>3.1737873706879194E-2</v>
      </c>
      <c r="E61" s="10">
        <f>('Raw Data_Prices'!E61/'Raw Data_Prices'!E60)-1</f>
        <v>-1.0924369747899121E-2</v>
      </c>
      <c r="F61" s="10">
        <f>('Raw Data_Prices'!F61/'Raw Data_Prices'!F60)-1</f>
        <v>-1.8233953385780377E-2</v>
      </c>
      <c r="G61" s="10">
        <f>('Raw Data_Prices'!G61/'Raw Data_Prices'!G60)-1</f>
        <v>3.717472118960341E-4</v>
      </c>
      <c r="H61" s="10">
        <f>('Raw Data_Prices'!H61/'Raw Data_Prices'!H60)-1</f>
        <v>-2.4687601765641221E-2</v>
      </c>
      <c r="I61" s="10" cm="1">
        <f t="array" ref="I61">SUMPRODUCT(B61:H61,TRANSPOSE($O$2:$O$8))</f>
        <v>-9.0863222395798533E-3</v>
      </c>
      <c r="J61" s="12">
        <f t="shared" si="3"/>
        <v>150799837.34051147</v>
      </c>
      <c r="K61" s="12">
        <f t="shared" si="2"/>
        <v>152182617.64368474</v>
      </c>
      <c r="L61" s="10">
        <f t="shared" si="1"/>
        <v>-9.086322239579725E-3</v>
      </c>
    </row>
    <row r="62" spans="1:12" x14ac:dyDescent="0.2">
      <c r="A62" s="1">
        <v>44255</v>
      </c>
      <c r="B62" s="10">
        <f>('Raw Data_Prices'!B62/'Raw Data_Prices'!B61)-1</f>
        <v>2.7839164251069137E-2</v>
      </c>
      <c r="C62" s="10">
        <f>('Raw Data_Prices'!C62/'Raw Data_Prices'!C61)-1</f>
        <v>2.2372006310052983E-2</v>
      </c>
      <c r="D62" s="10">
        <f>('Raw Data_Prices'!D62/'Raw Data_Prices'!D61)-1</f>
        <v>7.8818281559733805E-3</v>
      </c>
      <c r="E62" s="10">
        <f>('Raw Data_Prices'!E62/'Raw Data_Prices'!E61)-1</f>
        <v>-2.4384027187765556E-2</v>
      </c>
      <c r="F62" s="10">
        <f>('Raw Data_Prices'!F62/'Raw Data_Prices'!F61)-1</f>
        <v>-2.4638657979480172E-2</v>
      </c>
      <c r="G62" s="10">
        <f>('Raw Data_Prices'!G62/'Raw Data_Prices'!G61)-1</f>
        <v>3.4188034188034067E-2</v>
      </c>
      <c r="H62" s="10">
        <f>('Raw Data_Prices'!H62/'Raw Data_Prices'!H61)-1</f>
        <v>8.437502284852183E-3</v>
      </c>
      <c r="I62" s="10" cm="1">
        <f t="array" ref="I62">SUMPRODUCT(B62:H62,TRANSPOSE($O$2:$O$8))</f>
        <v>9.0235240414148522E-3</v>
      </c>
      <c r="J62" s="12">
        <f t="shared" si="3"/>
        <v>152160583.29819503</v>
      </c>
      <c r="K62" s="12">
        <f t="shared" si="2"/>
        <v>152182617.64368474</v>
      </c>
      <c r="L62" s="10">
        <f t="shared" si="1"/>
        <v>-1.4478884534174785E-4</v>
      </c>
    </row>
    <row r="63" spans="1:12" x14ac:dyDescent="0.2">
      <c r="A63" s="1">
        <v>44286</v>
      </c>
      <c r="B63" s="10">
        <f>('Raw Data_Prices'!B63/'Raw Data_Prices'!B62)-1</f>
        <v>4.5402507469354703E-2</v>
      </c>
      <c r="C63" s="10">
        <f>('Raw Data_Prices'!C63/'Raw Data_Prices'!C62)-1</f>
        <v>2.5108710899144127E-2</v>
      </c>
      <c r="D63" s="10">
        <f>('Raw Data_Prices'!D63/'Raw Data_Prices'!D62)-1</f>
        <v>-7.2789657496477034E-3</v>
      </c>
      <c r="E63" s="10">
        <f>('Raw Data_Prices'!E63/'Raw Data_Prices'!E62)-1</f>
        <v>-2.4470957066968557E-2</v>
      </c>
      <c r="F63" s="10">
        <f>('Raw Data_Prices'!F63/'Raw Data_Prices'!F62)-1</f>
        <v>-1.6738329238329297E-2</v>
      </c>
      <c r="G63" s="10">
        <f>('Raw Data_Prices'!G63/'Raw Data_Prices'!G62)-1</f>
        <v>5.1622948856150375E-2</v>
      </c>
      <c r="H63" s="10">
        <f>('Raw Data_Prices'!H63/'Raw Data_Prices'!H62)-1</f>
        <v>4.8388850891672552E-2</v>
      </c>
      <c r="I63" s="10" cm="1">
        <f t="array" ref="I63">SUMPRODUCT(B63:H63,TRANSPOSE($O$2:$O$8))</f>
        <v>2.0456266225751297E-2</v>
      </c>
      <c r="J63" s="12">
        <f t="shared" si="3"/>
        <v>155273220.6992085</v>
      </c>
      <c r="K63" s="12">
        <f t="shared" si="2"/>
        <v>155273220.6992085</v>
      </c>
      <c r="L63" s="10">
        <f t="shared" si="1"/>
        <v>0</v>
      </c>
    </row>
    <row r="64" spans="1:12" x14ac:dyDescent="0.2">
      <c r="A64" s="1">
        <v>44316</v>
      </c>
      <c r="B64" s="10">
        <f>('Raw Data_Prices'!B64/'Raw Data_Prices'!B63)-1</f>
        <v>5.2912738053900954E-2</v>
      </c>
      <c r="C64" s="10">
        <f>('Raw Data_Prices'!C64/'Raw Data_Prices'!C63)-1</f>
        <v>2.9556650246305383E-2</v>
      </c>
      <c r="D64" s="10">
        <f>('Raw Data_Prices'!D64/'Raw Data_Prices'!D63)-1</f>
        <v>1.2023058596980718E-2</v>
      </c>
      <c r="E64" s="10">
        <f>('Raw Data_Prices'!E64/'Raw Data_Prices'!E63)-1</f>
        <v>1.0087484377789835E-2</v>
      </c>
      <c r="F64" s="10">
        <f>('Raw Data_Prices'!F64/'Raw Data_Prices'!F63)-1</f>
        <v>1.0385756676557722E-2</v>
      </c>
      <c r="G64" s="10">
        <f>('Raw Data_Prices'!G64/'Raw Data_Prices'!G63)-1</f>
        <v>7.858769931662879E-2</v>
      </c>
      <c r="H64" s="10">
        <f>('Raw Data_Prices'!H64/'Raw Data_Prices'!H63)-1</f>
        <v>3.4832121163222318E-2</v>
      </c>
      <c r="I64" s="10" cm="1">
        <f t="array" ref="I64">SUMPRODUCT(B64:H64,TRANSPOSE($O$2:$O$8))</f>
        <v>3.530652647416397E-2</v>
      </c>
      <c r="J64" s="12">
        <f t="shared" si="3"/>
        <v>160755378.77655378</v>
      </c>
      <c r="K64" s="12">
        <f t="shared" si="2"/>
        <v>160755378.77655378</v>
      </c>
      <c r="L64" s="10">
        <f t="shared" si="1"/>
        <v>0</v>
      </c>
    </row>
    <row r="65" spans="1:12" x14ac:dyDescent="0.2">
      <c r="A65" s="1">
        <v>44347</v>
      </c>
      <c r="B65" s="10">
        <f>('Raw Data_Prices'!B65/'Raw Data_Prices'!B64)-1</f>
        <v>6.5702688990361136E-3</v>
      </c>
      <c r="C65" s="10">
        <f>('Raw Data_Prices'!C65/'Raw Data_Prices'!C64)-1</f>
        <v>3.4821903242955976E-2</v>
      </c>
      <c r="D65" s="10">
        <f>('Raw Data_Prices'!D65/'Raw Data_Prices'!D64)-1</f>
        <v>1.6474558354170332E-2</v>
      </c>
      <c r="E65" s="10">
        <f>('Raw Data_Prices'!E65/'Raw Data_Prices'!E64)-1</f>
        <v>3.5351303579318483E-3</v>
      </c>
      <c r="F65" s="10">
        <f>('Raw Data_Prices'!F65/'Raw Data_Prices'!F64)-1</f>
        <v>4.1734291676329693E-3</v>
      </c>
      <c r="G65" s="10">
        <f>('Raw Data_Prices'!G65/'Raw Data_Prices'!G64)-1</f>
        <v>8.0253431890178195E-3</v>
      </c>
      <c r="H65" s="10">
        <f>('Raw Data_Prices'!H65/'Raw Data_Prices'!H64)-1</f>
        <v>7.2955302346822126E-3</v>
      </c>
      <c r="I65" s="10" cm="1">
        <f t="array" ref="I65">SUMPRODUCT(B65:H65,TRANSPOSE($O$2:$O$8))</f>
        <v>1.0674550404582418E-2</v>
      </c>
      <c r="J65" s="12">
        <f t="shared" si="3"/>
        <v>162471370.17011184</v>
      </c>
      <c r="K65" s="12">
        <f t="shared" si="2"/>
        <v>162471370.17011184</v>
      </c>
      <c r="L65" s="10">
        <f t="shared" si="1"/>
        <v>0</v>
      </c>
    </row>
    <row r="66" spans="1:12" x14ac:dyDescent="0.2">
      <c r="A66" s="1">
        <v>44377</v>
      </c>
      <c r="B66" s="10">
        <f>('Raw Data_Prices'!B66/'Raw Data_Prices'!B65)-1</f>
        <v>2.2430000756067381E-2</v>
      </c>
      <c r="C66" s="10">
        <f>('Raw Data_Prices'!C66/'Raw Data_Prices'!C65)-1</f>
        <v>-1.0917030567685559E-2</v>
      </c>
      <c r="D66" s="10">
        <f>('Raw Data_Prices'!D66/'Raw Data_Prices'!D65)-1</f>
        <v>9.4877343434385253E-3</v>
      </c>
      <c r="E66" s="10">
        <f>('Raw Data_Prices'!E66/'Raw Data_Prices'!E65)-1</f>
        <v>9.5112285336855784E-3</v>
      </c>
      <c r="F66" s="10">
        <f>('Raw Data_Prices'!F66/'Raw Data_Prices'!F65)-1</f>
        <v>2.0241668590779582E-2</v>
      </c>
      <c r="G66" s="10">
        <f>('Raw Data_Prices'!G66/'Raw Data_Prices'!G65)-1</f>
        <v>2.6398491514770583E-2</v>
      </c>
      <c r="H66" s="10">
        <f>('Raw Data_Prices'!H66/'Raw Data_Prices'!H65)-1</f>
        <v>-2.0155690211862587E-2</v>
      </c>
      <c r="I66" s="10" cm="1">
        <f t="array" ref="I66">SUMPRODUCT(B66:H66,TRANSPOSE($O$2:$O$8))</f>
        <v>1.011652505494518E-2</v>
      </c>
      <c r="J66" s="12">
        <f t="shared" si="3"/>
        <v>164115015.85714903</v>
      </c>
      <c r="K66" s="12">
        <f t="shared" si="2"/>
        <v>164115015.85714903</v>
      </c>
      <c r="L66" s="10">
        <f t="shared" si="1"/>
        <v>0</v>
      </c>
    </row>
    <row r="67" spans="1:12" x14ac:dyDescent="0.2">
      <c r="A67" s="1">
        <v>44408</v>
      </c>
      <c r="B67" s="10">
        <f>('Raw Data_Prices'!B67/'Raw Data_Prices'!B66)-1</f>
        <v>2.4402869185831566E-2</v>
      </c>
      <c r="C67" s="10">
        <f>('Raw Data_Prices'!C67/'Raw Data_Prices'!C66)-1</f>
        <v>7.7911959485781335E-3</v>
      </c>
      <c r="D67" s="10">
        <f>('Raw Data_Prices'!D67/'Raw Data_Prices'!D66)-1</f>
        <v>-6.4371441363980431E-2</v>
      </c>
      <c r="E67" s="10">
        <f>('Raw Data_Prices'!E67/'Raw Data_Prices'!E66)-1</f>
        <v>1.9977318328535443E-2</v>
      </c>
      <c r="F67" s="10">
        <f>('Raw Data_Prices'!F67/'Raw Data_Prices'!F66)-1</f>
        <v>1.4106819553409755E-2</v>
      </c>
      <c r="G67" s="10">
        <f>('Raw Data_Prices'!G67/'Raw Data_Prices'!G66)-1</f>
        <v>4.4192692386201271E-2</v>
      </c>
      <c r="H67" s="10">
        <f>('Raw Data_Prices'!H67/'Raw Data_Prices'!H66)-1</f>
        <v>1.1018674418709518E-2</v>
      </c>
      <c r="I67" s="10" cm="1">
        <f t="array" ref="I67">SUMPRODUCT(B67:H67,TRANSPOSE($O$2:$O$8))</f>
        <v>1.619825038137631E-2</v>
      </c>
      <c r="J67" s="12">
        <f t="shared" si="3"/>
        <v>166773391.97534665</v>
      </c>
      <c r="K67" s="12">
        <f t="shared" si="2"/>
        <v>166773391.97534665</v>
      </c>
      <c r="L67" s="10">
        <f t="shared" si="1"/>
        <v>0</v>
      </c>
    </row>
    <row r="68" spans="1:12" x14ac:dyDescent="0.2">
      <c r="A68" s="1">
        <v>44439</v>
      </c>
      <c r="B68" s="10">
        <f>('Raw Data_Prices'!B68/'Raw Data_Prices'!B67)-1</f>
        <v>2.978897471065256E-2</v>
      </c>
      <c r="C68" s="10">
        <f>('Raw Data_Prices'!C68/'Raw Data_Prices'!C67)-1</f>
        <v>1.4431130009019411E-2</v>
      </c>
      <c r="D68" s="10">
        <f>('Raw Data_Prices'!D68/'Raw Data_Prices'!D67)-1</f>
        <v>1.5709367178666334E-2</v>
      </c>
      <c r="E68" s="10">
        <f>('Raw Data_Prices'!E68/'Raw Data_Prices'!E67)-1</f>
        <v>-4.6185425932261381E-3</v>
      </c>
      <c r="F68" s="10">
        <f>('Raw Data_Prices'!F68/'Raw Data_Prices'!F67)-1</f>
        <v>-5.1327828609685211E-3</v>
      </c>
      <c r="G68" s="10">
        <f>('Raw Data_Prices'!G68/'Raw Data_Prices'!G67)-1</f>
        <v>2.1698758674616458E-2</v>
      </c>
      <c r="H68" s="10">
        <f>('Raw Data_Prices'!H68/'Raw Data_Prices'!H67)-1</f>
        <v>1.3740434157536008E-2</v>
      </c>
      <c r="I68" s="10" cm="1">
        <f t="array" ref="I68">SUMPRODUCT(B68:H68,TRANSPOSE($O$2:$O$8))</f>
        <v>1.3993762751955161E-2</v>
      </c>
      <c r="J68" s="12">
        <f t="shared" ref="J68:J99" si="4">J67*(1+I68)</f>
        <v>169107179.25598848</v>
      </c>
      <c r="K68" s="12">
        <f t="shared" si="2"/>
        <v>169107179.25598848</v>
      </c>
      <c r="L68" s="10">
        <f t="shared" ref="L68:L122" si="5">(J68/K68)-1</f>
        <v>0</v>
      </c>
    </row>
    <row r="69" spans="1:12" x14ac:dyDescent="0.2">
      <c r="A69" s="1">
        <v>44469</v>
      </c>
      <c r="B69" s="10">
        <f>('Raw Data_Prices'!B69/'Raw Data_Prices'!B68)-1</f>
        <v>-4.6638783092272873E-2</v>
      </c>
      <c r="C69" s="10">
        <f>('Raw Data_Prices'!C69/'Raw Data_Prices'!C68)-1</f>
        <v>-3.2643210974215742E-2</v>
      </c>
      <c r="D69" s="10">
        <f>('Raw Data_Prices'!D69/'Raw Data_Prices'!D68)-1</f>
        <v>-3.8737921761155647E-2</v>
      </c>
      <c r="E69" s="10">
        <f>('Raw Data_Prices'!E69/'Raw Data_Prices'!E68)-1</f>
        <v>-1.6669530847224556E-2</v>
      </c>
      <c r="F69" s="10">
        <f>('Raw Data_Prices'!F69/'Raw Data_Prices'!F68)-1</f>
        <v>-1.6823687752355321E-2</v>
      </c>
      <c r="G69" s="10">
        <f>('Raw Data_Prices'!G69/'Raw Data_Prices'!G68)-1</f>
        <v>-5.6921457954654198E-2</v>
      </c>
      <c r="H69" s="10">
        <f>('Raw Data_Prices'!H69/'Raw Data_Prices'!H68)-1</f>
        <v>-1.311816922592457E-2</v>
      </c>
      <c r="I69" s="10" cm="1">
        <f t="array" ref="I69">SUMPRODUCT(B69:H69,TRANSPOSE($O$2:$O$8))</f>
        <v>-3.2845250324610324E-2</v>
      </c>
      <c r="J69" s="12">
        <f t="shared" si="4"/>
        <v>163552811.62163681</v>
      </c>
      <c r="K69" s="12">
        <f t="shared" ref="K69:K122" si="6">MAX(K68,J69)</f>
        <v>169107179.25598848</v>
      </c>
      <c r="L69" s="10">
        <f t="shared" si="5"/>
        <v>-3.2845250324610165E-2</v>
      </c>
    </row>
    <row r="70" spans="1:12" x14ac:dyDescent="0.2">
      <c r="A70" s="1">
        <v>44500</v>
      </c>
      <c r="B70" s="10">
        <f>('Raw Data_Prices'!B70/'Raw Data_Prices'!B69)-1</f>
        <v>7.0194357981421929E-2</v>
      </c>
      <c r="C70" s="10">
        <f>('Raw Data_Prices'!C70/'Raw Data_Prices'!C69)-1</f>
        <v>3.1906512605042181E-2</v>
      </c>
      <c r="D70" s="10">
        <f>('Raw Data_Prices'!D70/'Raw Data_Prices'!D69)-1</f>
        <v>1.0722116316744801E-2</v>
      </c>
      <c r="E70" s="10">
        <f>('Raw Data_Prices'!E70/'Raw Data_Prices'!E69)-1</f>
        <v>-4.369101712687895E-3</v>
      </c>
      <c r="F70" s="10">
        <f>('Raw Data_Prices'!F70/'Raw Data_Prices'!F69)-1</f>
        <v>5.3235987527566753E-3</v>
      </c>
      <c r="G70" s="10">
        <f>('Raw Data_Prices'!G70/'Raw Data_Prices'!G69)-1</f>
        <v>7.1414079935078201E-2</v>
      </c>
      <c r="H70" s="10">
        <f>('Raw Data_Prices'!H70/'Raw Data_Prices'!H69)-1</f>
        <v>4.0736724192562246E-2</v>
      </c>
      <c r="I70" s="10" cm="1">
        <f t="array" ref="I70">SUMPRODUCT(B70:H70,TRANSPOSE($O$2:$O$8))</f>
        <v>3.7254010046522276E-2</v>
      </c>
      <c r="J70" s="12">
        <f t="shared" si="4"/>
        <v>169645809.7089262</v>
      </c>
      <c r="K70" s="12">
        <f t="shared" si="6"/>
        <v>169645809.7089262</v>
      </c>
      <c r="L70" s="10">
        <f t="shared" si="5"/>
        <v>0</v>
      </c>
    </row>
    <row r="71" spans="1:12" x14ac:dyDescent="0.2">
      <c r="A71" s="1">
        <v>44530</v>
      </c>
      <c r="B71" s="10">
        <f>('Raw Data_Prices'!B71/'Raw Data_Prices'!B70)-1</f>
        <v>-8.0384747509446575E-3</v>
      </c>
      <c r="C71" s="10">
        <f>('Raw Data_Prices'!C71/'Raw Data_Prices'!C70)-1</f>
        <v>-4.5425626670059893E-2</v>
      </c>
      <c r="D71" s="10">
        <f>('Raw Data_Prices'!D71/'Raw Data_Prices'!D70)-1</f>
        <v>-4.0852102899492926E-2</v>
      </c>
      <c r="E71" s="10">
        <f>('Raw Data_Prices'!E71/'Raw Data_Prices'!E70)-1</f>
        <v>1.0180796910654655E-2</v>
      </c>
      <c r="F71" s="10">
        <f>('Raw Data_Prices'!F71/'Raw Data_Prices'!F70)-1</f>
        <v>-3.1015961873060993E-3</v>
      </c>
      <c r="G71" s="10">
        <f>('Raw Data_Prices'!G71/'Raw Data_Prices'!G70)-1</f>
        <v>-2.1208104525658134E-2</v>
      </c>
      <c r="H71" s="10">
        <f>('Raw Data_Prices'!H71/'Raw Data_Prices'!H70)-1</f>
        <v>-5.0647295680550264E-2</v>
      </c>
      <c r="I71" s="10" cm="1">
        <f t="array" ref="I71">SUMPRODUCT(B71:H71,TRANSPOSE($O$2:$O$8))</f>
        <v>-1.6727531827987543E-2</v>
      </c>
      <c r="J71" s="12">
        <f t="shared" si="4"/>
        <v>166808054.02753541</v>
      </c>
      <c r="K71" s="12">
        <f t="shared" si="6"/>
        <v>169645809.7089262</v>
      </c>
      <c r="L71" s="10">
        <f t="shared" si="5"/>
        <v>-1.6727531827987585E-2</v>
      </c>
    </row>
    <row r="72" spans="1:12" x14ac:dyDescent="0.2">
      <c r="A72" s="1">
        <v>44561</v>
      </c>
      <c r="B72" s="10">
        <f>('Raw Data_Prices'!B72/'Raw Data_Prices'!B71)-1</f>
        <v>4.6243708731588118E-2</v>
      </c>
      <c r="C72" s="10">
        <f>('Raw Data_Prices'!C72/'Raw Data_Prices'!C71)-1</f>
        <v>2.5993068515062667E-2</v>
      </c>
      <c r="D72" s="10">
        <f>('Raw Data_Prices'!D72/'Raw Data_Prices'!D71)-1</f>
        <v>1.5151854105519336E-2</v>
      </c>
      <c r="E72" s="10">
        <f>('Raw Data_Prices'!E72/'Raw Data_Prices'!E71)-1</f>
        <v>-5.9947871416159426E-3</v>
      </c>
      <c r="F72" s="10">
        <f>('Raw Data_Prices'!F72/'Raw Data_Prices'!F71)-1</f>
        <v>-2.1247533768401494E-3</v>
      </c>
      <c r="G72" s="10">
        <f>('Raw Data_Prices'!G72/'Raw Data_Prices'!G71)-1</f>
        <v>9.7117430837686314E-2</v>
      </c>
      <c r="H72" s="10">
        <f>('Raw Data_Prices'!H72/'Raw Data_Prices'!H71)-1</f>
        <v>6.0077239261032478E-2</v>
      </c>
      <c r="I72" s="10" cm="1">
        <f t="array" ref="I72">SUMPRODUCT(B72:H72,TRANSPOSE($O$2:$O$8))</f>
        <v>3.2837699845876478E-2</v>
      </c>
      <c r="J72" s="12">
        <f t="shared" si="4"/>
        <v>172285646.83756638</v>
      </c>
      <c r="K72" s="12">
        <f t="shared" si="6"/>
        <v>172285646.83756638</v>
      </c>
      <c r="L72" s="10">
        <f t="shared" si="5"/>
        <v>0</v>
      </c>
    </row>
    <row r="73" spans="1:12" x14ac:dyDescent="0.2">
      <c r="A73" s="1">
        <v>44592</v>
      </c>
      <c r="B73" s="10">
        <f>('Raw Data_Prices'!B73/'Raw Data_Prices'!B72)-1</f>
        <v>-5.2739589999338032E-2</v>
      </c>
      <c r="C73" s="10">
        <f>('Raw Data_Prices'!C73/'Raw Data_Prices'!C72)-1</f>
        <v>-3.6247888787839355E-2</v>
      </c>
      <c r="D73" s="10">
        <f>('Raw Data_Prices'!D73/'Raw Data_Prices'!D72)-1</f>
        <v>-2.0274096976313771E-4</v>
      </c>
      <c r="E73" s="10">
        <f>('Raw Data_Prices'!E73/'Raw Data_Prices'!E72)-1</f>
        <v>-2.106459225592161E-2</v>
      </c>
      <c r="F73" s="10">
        <f>('Raw Data_Prices'!F73/'Raw Data_Prices'!F72)-1</f>
        <v>-3.5893536121673009E-2</v>
      </c>
      <c r="G73" s="10">
        <f>('Raw Data_Prices'!G73/'Raw Data_Prices'!G72)-1</f>
        <v>-8.4200317404337865E-2</v>
      </c>
      <c r="H73" s="10">
        <f>('Raw Data_Prices'!H73/'Raw Data_Prices'!H72)-1</f>
        <v>-7.3543667084947639E-3</v>
      </c>
      <c r="I73" s="10" cm="1">
        <f t="array" ref="I73">SUMPRODUCT(B73:H73,TRANSPOSE($O$2:$O$8))</f>
        <v>-3.8226937841100359E-2</v>
      </c>
      <c r="J73" s="12">
        <f t="shared" si="4"/>
        <v>165699694.12499297</v>
      </c>
      <c r="K73" s="12">
        <f t="shared" si="6"/>
        <v>172285646.83756638</v>
      </c>
      <c r="L73" s="10">
        <f t="shared" si="5"/>
        <v>-3.8226937841100317E-2</v>
      </c>
    </row>
    <row r="74" spans="1:12" x14ac:dyDescent="0.2">
      <c r="A74" s="1">
        <v>44620</v>
      </c>
      <c r="B74" s="10">
        <f>('Raw Data_Prices'!B74/'Raw Data_Prices'!B73)-1</f>
        <v>-2.9515223518997269E-2</v>
      </c>
      <c r="C74" s="10">
        <f>('Raw Data_Prices'!C74/'Raw Data_Prices'!C73)-1</f>
        <v>-3.4375842545160573E-2</v>
      </c>
      <c r="D74" s="10">
        <f>('Raw Data_Prices'!D74/'Raw Data_Prices'!D73)-1</f>
        <v>-4.3201400078026864E-2</v>
      </c>
      <c r="E74" s="10">
        <f>('Raw Data_Prices'!E74/'Raw Data_Prices'!E73)-1</f>
        <v>-4.0178571428571841E-3</v>
      </c>
      <c r="F74" s="10">
        <f>('Raw Data_Prices'!F74/'Raw Data_Prices'!F73)-1</f>
        <v>-2.3189777567439673E-2</v>
      </c>
      <c r="G74" s="10">
        <f>('Raw Data_Prices'!G74/'Raw Data_Prices'!G73)-1</f>
        <v>-3.4851256378165107E-2</v>
      </c>
      <c r="H74" s="10">
        <f>('Raw Data_Prices'!H74/'Raw Data_Prices'!H73)-1</f>
        <v>1.9475070236023129E-2</v>
      </c>
      <c r="I74" s="10" cm="1">
        <f t="array" ref="I74">SUMPRODUCT(B74:H74,TRANSPOSE($O$2:$O$8))</f>
        <v>-2.0831181240904214E-2</v>
      </c>
      <c r="J74" s="12">
        <f t="shared" si="4"/>
        <v>162247973.76511285</v>
      </c>
      <c r="K74" s="12">
        <f t="shared" si="6"/>
        <v>172285646.83756638</v>
      </c>
      <c r="L74" s="10">
        <f t="shared" si="5"/>
        <v>-5.8261806811551797E-2</v>
      </c>
    </row>
    <row r="75" spans="1:12" x14ac:dyDescent="0.2">
      <c r="A75" s="1">
        <v>44651</v>
      </c>
      <c r="B75" s="10">
        <f>('Raw Data_Prices'!B75/'Raw Data_Prices'!B74)-1</f>
        <v>3.7614018242918767E-2</v>
      </c>
      <c r="C75" s="10">
        <f>('Raw Data_Prices'!C75/'Raw Data_Prices'!C74)-1</f>
        <v>5.1654334775932398E-3</v>
      </c>
      <c r="D75" s="10">
        <f>('Raw Data_Prices'!D75/'Raw Data_Prices'!D74)-1</f>
        <v>-3.3811038750118039E-2</v>
      </c>
      <c r="E75" s="10">
        <f>('Raw Data_Prices'!E75/'Raw Data_Prices'!E74)-1</f>
        <v>-4.1506051098162189E-2</v>
      </c>
      <c r="F75" s="10">
        <f>('Raw Data_Prices'!F75/'Raw Data_Prices'!F74)-1</f>
        <v>-3.0927002583979291E-2</v>
      </c>
      <c r="G75" s="10">
        <f>('Raw Data_Prices'!G75/'Raw Data_Prices'!G74)-1</f>
        <v>6.2643391521197023E-2</v>
      </c>
      <c r="H75" s="10">
        <f>('Raw Data_Prices'!H75/'Raw Data_Prices'!H74)-1</f>
        <v>5.6062803813870632E-2</v>
      </c>
      <c r="I75" s="10" cm="1">
        <f t="array" ref="I75">SUMPRODUCT(B75:H75,TRANSPOSE($O$2:$O$8))</f>
        <v>1.084517761248511E-2</v>
      </c>
      <c r="J75" s="12">
        <f t="shared" si="4"/>
        <v>164007581.85786134</v>
      </c>
      <c r="K75" s="12">
        <f t="shared" si="6"/>
        <v>172285646.83756638</v>
      </c>
      <c r="L75" s="10">
        <f t="shared" si="5"/>
        <v>-4.8048488841962111E-2</v>
      </c>
    </row>
    <row r="76" spans="1:12" x14ac:dyDescent="0.2">
      <c r="A76" s="1">
        <v>44681</v>
      </c>
      <c r="B76" s="10">
        <f>('Raw Data_Prices'!B76/'Raw Data_Prices'!B75)-1</f>
        <v>-8.7769218312628627E-2</v>
      </c>
      <c r="C76" s="10">
        <f>('Raw Data_Prices'!C76/'Raw Data_Prices'!C75)-1</f>
        <v>-6.7361111111110983E-2</v>
      </c>
      <c r="D76" s="10">
        <f>('Raw Data_Prices'!D76/'Raw Data_Prices'!D75)-1</f>
        <v>-6.1352560251018096E-2</v>
      </c>
      <c r="E76" s="10">
        <f>('Raw Data_Prices'!E76/'Raw Data_Prices'!E75)-1</f>
        <v>-4.3303404414515523E-2</v>
      </c>
      <c r="F76" s="10">
        <f>('Raw Data_Prices'!F76/'Raw Data_Prices'!F75)-1</f>
        <v>-6.8994250479126773E-2</v>
      </c>
      <c r="G76" s="10">
        <f>('Raw Data_Prices'!G76/'Raw Data_Prices'!G75)-1</f>
        <v>-4.0833568009011501E-2</v>
      </c>
      <c r="H76" s="10">
        <f>('Raw Data_Prices'!H76/'Raw Data_Prices'!H75)-1</f>
        <v>-3.9520924660060297E-2</v>
      </c>
      <c r="I76" s="10" cm="1">
        <f t="array" ref="I76">SUMPRODUCT(B76:H76,TRANSPOSE($O$2:$O$8))</f>
        <v>-6.3098115370729096E-2</v>
      </c>
      <c r="J76" s="12">
        <f t="shared" si="4"/>
        <v>153659012.5361197</v>
      </c>
      <c r="K76" s="12">
        <f t="shared" si="6"/>
        <v>172285646.83756638</v>
      </c>
      <c r="L76" s="10">
        <f t="shared" si="5"/>
        <v>-0.10811483512035192</v>
      </c>
    </row>
    <row r="77" spans="1:12" x14ac:dyDescent="0.2">
      <c r="A77" s="1">
        <v>44712</v>
      </c>
      <c r="B77" s="10">
        <f>('Raw Data_Prices'!B77/'Raw Data_Prices'!B76)-1</f>
        <v>2.256992873988839E-3</v>
      </c>
      <c r="C77" s="10">
        <f>('Raw Data_Prices'!C77/'Raw Data_Prices'!C76)-1</f>
        <v>1.9955323901712507E-2</v>
      </c>
      <c r="D77" s="10">
        <f>('Raw Data_Prices'!D77/'Raw Data_Prices'!D76)-1</f>
        <v>6.1395041658198757E-3</v>
      </c>
      <c r="E77" s="10">
        <f>('Raw Data_Prices'!E77/'Raw Data_Prices'!E76)-1</f>
        <v>6.1589598201192697E-3</v>
      </c>
      <c r="F77" s="10">
        <f>('Raw Data_Prices'!F77/'Raw Data_Prices'!F76)-1</f>
        <v>1.8616307169068369E-2</v>
      </c>
      <c r="G77" s="10">
        <f>('Raw Data_Prices'!G77/'Raw Data_Prices'!G76)-1</f>
        <v>-4.6878058328440053E-2</v>
      </c>
      <c r="H77" s="10">
        <f>('Raw Data_Prices'!H77/'Raw Data_Prices'!H76)-1</f>
        <v>4.6468717829508899E-2</v>
      </c>
      <c r="I77" s="10" cm="1">
        <f t="array" ref="I77">SUMPRODUCT(B77:H77,TRANSPOSE($O$2:$O$8))</f>
        <v>7.0298602867820978E-3</v>
      </c>
      <c r="J77" s="12">
        <f t="shared" si="4"/>
        <v>154739213.92605352</v>
      </c>
      <c r="K77" s="12">
        <f t="shared" si="6"/>
        <v>172285646.83756638</v>
      </c>
      <c r="L77" s="10">
        <f t="shared" si="5"/>
        <v>-0.10184500701939436</v>
      </c>
    </row>
    <row r="78" spans="1:12" x14ac:dyDescent="0.2">
      <c r="A78" s="1">
        <v>44742</v>
      </c>
      <c r="B78" s="10">
        <f>('Raw Data_Prices'!B78/'Raw Data_Prices'!B77)-1</f>
        <v>-8.246040180152836E-2</v>
      </c>
      <c r="C78" s="10">
        <f>('Raw Data_Prices'!C78/'Raw Data_Prices'!C77)-1</f>
        <v>-8.7604029785370074E-2</v>
      </c>
      <c r="D78" s="10">
        <f>('Raw Data_Prices'!D78/'Raw Data_Prices'!D77)-1</f>
        <v>-5.1621193798488729E-2</v>
      </c>
      <c r="E78" s="10">
        <f>('Raw Data_Prices'!E78/'Raw Data_Prices'!E77)-1</f>
        <v>-9.8134473377381459E-3</v>
      </c>
      <c r="F78" s="10">
        <f>('Raw Data_Prices'!F78/'Raw Data_Prices'!F77)-1</f>
        <v>-3.848519462261657E-2</v>
      </c>
      <c r="G78" s="10">
        <f>('Raw Data_Prices'!G78/'Raw Data_Prices'!G77)-1</f>
        <v>-7.4545641236266613E-2</v>
      </c>
      <c r="H78" s="10">
        <f>('Raw Data_Prices'!H78/'Raw Data_Prices'!H77)-1</f>
        <v>-7.2783059002731076E-2</v>
      </c>
      <c r="I78" s="10" cm="1">
        <f t="array" ref="I78">SUMPRODUCT(B78:H78,TRANSPOSE($O$2:$O$8))</f>
        <v>-6.10038636518975E-2</v>
      </c>
      <c r="J78" s="12">
        <f t="shared" si="4"/>
        <v>145299524.01810676</v>
      </c>
      <c r="K78" s="12">
        <f t="shared" si="6"/>
        <v>172285646.83756638</v>
      </c>
      <c r="L78" s="10">
        <f t="shared" si="5"/>
        <v>-0.15663593174945423</v>
      </c>
    </row>
    <row r="79" spans="1:12" x14ac:dyDescent="0.2">
      <c r="A79" s="1">
        <v>44773</v>
      </c>
      <c r="B79" s="10">
        <f>('Raw Data_Prices'!B79/'Raw Data_Prices'!B78)-1</f>
        <v>9.2077323994153693E-2</v>
      </c>
      <c r="C79" s="10">
        <f>('Raw Data_Prices'!C79/'Raw Data_Prices'!C78)-1</f>
        <v>5.1688270123219748E-2</v>
      </c>
      <c r="D79" s="10">
        <f>('Raw Data_Prices'!D79/'Raw Data_Prices'!D78)-1</f>
        <v>-3.4926128044722171E-3</v>
      </c>
      <c r="E79" s="10">
        <f>('Raw Data_Prices'!E79/'Raw Data_Prices'!E78)-1</f>
        <v>2.8063978019821301E-2</v>
      </c>
      <c r="F79" s="10">
        <f>('Raw Data_Prices'!F79/'Raw Data_Prices'!F78)-1</f>
        <v>4.1579091656766876E-2</v>
      </c>
      <c r="G79" s="10">
        <f>('Raw Data_Prices'!G79/'Raw Data_Prices'!G78)-1</f>
        <v>8.6208809497392735E-2</v>
      </c>
      <c r="H79" s="10">
        <f>('Raw Data_Prices'!H79/'Raw Data_Prices'!H78)-1</f>
        <v>3.5080213903743385E-2</v>
      </c>
      <c r="I79" s="10" cm="1">
        <f t="array" ref="I79">SUMPRODUCT(B79:H79,TRANSPOSE($O$2:$O$8))</f>
        <v>5.7101414186260017E-2</v>
      </c>
      <c r="J79" s="12">
        <f t="shared" si="4"/>
        <v>153596332.32013112</v>
      </c>
      <c r="K79" s="12">
        <f t="shared" si="6"/>
        <v>172285646.83756638</v>
      </c>
      <c r="L79" s="10">
        <f t="shared" si="5"/>
        <v>-0.10847865077847041</v>
      </c>
    </row>
    <row r="80" spans="1:12" x14ac:dyDescent="0.2">
      <c r="A80" s="1">
        <v>44804</v>
      </c>
      <c r="B80" s="10">
        <f>('Raw Data_Prices'!B80/'Raw Data_Prices'!B79)-1</f>
        <v>-4.0780768648048027E-2</v>
      </c>
      <c r="C80" s="10">
        <f>('Raw Data_Prices'!C80/'Raw Data_Prices'!C79)-1</f>
        <v>-6.1168594035301171E-2</v>
      </c>
      <c r="D80" s="10">
        <f>('Raw Data_Prices'!D80/'Raw Data_Prices'!D79)-1</f>
        <v>-1.3263414347461366E-2</v>
      </c>
      <c r="E80" s="10">
        <f>('Raw Data_Prices'!E80/'Raw Data_Prices'!E79)-1</f>
        <v>-3.8560656676529415E-2</v>
      </c>
      <c r="F80" s="10">
        <f>('Raw Data_Prices'!F80/'Raw Data_Prices'!F79)-1</f>
        <v>-4.4218283909457812E-2</v>
      </c>
      <c r="G80" s="10">
        <f>('Raw Data_Prices'!G80/'Raw Data_Prices'!G79)-1</f>
        <v>-6.0163432073544465E-2</v>
      </c>
      <c r="H80" s="10">
        <f>('Raw Data_Prices'!H80/'Raw Data_Prices'!H79)-1</f>
        <v>-2.190535234552593E-2</v>
      </c>
      <c r="I80" s="10" cm="1">
        <f t="array" ref="I80">SUMPRODUCT(B80:H80,TRANSPOSE($O$2:$O$8))</f>
        <v>-4.2413528585241354E-2</v>
      </c>
      <c r="J80" s="12">
        <f t="shared" si="4"/>
        <v>147081769.88868299</v>
      </c>
      <c r="K80" s="12">
        <f t="shared" si="6"/>
        <v>172285646.83756638</v>
      </c>
      <c r="L80" s="10">
        <f t="shared" si="5"/>
        <v>-0.14629121700803083</v>
      </c>
    </row>
    <row r="81" spans="1:12" x14ac:dyDescent="0.2">
      <c r="A81" s="1">
        <v>44834</v>
      </c>
      <c r="B81" s="10">
        <f>('Raw Data_Prices'!B81/'Raw Data_Prices'!B80)-1</f>
        <v>-9.245268118040384E-2</v>
      </c>
      <c r="C81" s="10">
        <f>('Raw Data_Prices'!C81/'Raw Data_Prices'!C80)-1</f>
        <v>-9.2220421393841234E-2</v>
      </c>
      <c r="D81" s="10">
        <f>('Raw Data_Prices'!D81/'Raw Data_Prices'!D80)-1</f>
        <v>-0.1153955486730216</v>
      </c>
      <c r="E81" s="10">
        <f>('Raw Data_Prices'!E81/'Raw Data_Prices'!E80)-1</f>
        <v>-4.9041993447830778E-2</v>
      </c>
      <c r="F81" s="10">
        <f>('Raw Data_Prices'!F81/'Raw Data_Prices'!F80)-1</f>
        <v>-6.2419680558105317E-2</v>
      </c>
      <c r="G81" s="10">
        <f>('Raw Data_Prices'!G81/'Raw Data_Prices'!G80)-1</f>
        <v>-0.1286816650364091</v>
      </c>
      <c r="H81" s="10">
        <f>('Raw Data_Prices'!H81/'Raw Data_Prices'!H80)-1</f>
        <v>-0.11620536657511094</v>
      </c>
      <c r="I81" s="10" cm="1">
        <f t="array" ref="I81">SUMPRODUCT(B81:H81,TRANSPOSE($O$2:$O$8))</f>
        <v>-8.7877714903377119E-2</v>
      </c>
      <c r="J81" s="12">
        <f t="shared" si="4"/>
        <v>134156560.04692118</v>
      </c>
      <c r="K81" s="12">
        <f t="shared" si="6"/>
        <v>172285646.83756638</v>
      </c>
      <c r="L81" s="10">
        <f t="shared" si="5"/>
        <v>-0.22131319405030825</v>
      </c>
    </row>
    <row r="82" spans="1:12" x14ac:dyDescent="0.2">
      <c r="A82" s="1">
        <v>44865</v>
      </c>
      <c r="B82" s="10">
        <f>('Raw Data_Prices'!B82/'Raw Data_Prices'!B81)-1</f>
        <v>8.1276287164611993E-2</v>
      </c>
      <c r="C82" s="10">
        <f>('Raw Data_Prices'!C82/'Raw Data_Prices'!C81)-1</f>
        <v>5.8918050348152118E-2</v>
      </c>
      <c r="D82" s="10">
        <f>('Raw Data_Prices'!D82/'Raw Data_Prices'!D81)-1</f>
        <v>-1.9782769036783554E-2</v>
      </c>
      <c r="E82" s="10">
        <f>('Raw Data_Prices'!E82/'Raw Data_Prices'!E81)-1</f>
        <v>-1.6494414865852569E-2</v>
      </c>
      <c r="F82" s="10">
        <f>('Raw Data_Prices'!F82/'Raw Data_Prices'!F81)-1</f>
        <v>-1.0769532014881511E-2</v>
      </c>
      <c r="G82" s="10">
        <f>('Raw Data_Prices'!G82/'Raw Data_Prices'!G81)-1</f>
        <v>3.5050517649993784E-2</v>
      </c>
      <c r="H82" s="10">
        <f>('Raw Data_Prices'!H82/'Raw Data_Prices'!H81)-1</f>
        <v>5.3550083672005755E-2</v>
      </c>
      <c r="I82" s="10" cm="1">
        <f t="array" ref="I82">SUMPRODUCT(B82:H82,TRANSPOSE($O$2:$O$8))</f>
        <v>3.6715679207308533E-2</v>
      </c>
      <c r="J82" s="12">
        <f t="shared" si="4"/>
        <v>139082209.26915994</v>
      </c>
      <c r="K82" s="12">
        <f t="shared" si="6"/>
        <v>172285646.83756638</v>
      </c>
      <c r="L82" s="10">
        <f t="shared" si="5"/>
        <v>-0.19272317908009573</v>
      </c>
    </row>
    <row r="83" spans="1:12" x14ac:dyDescent="0.2">
      <c r="A83" s="1">
        <v>44895</v>
      </c>
      <c r="B83" s="10">
        <f>('Raw Data_Prices'!B83/'Raw Data_Prices'!B82)-1</f>
        <v>5.5610698285806226E-2</v>
      </c>
      <c r="C83" s="10">
        <f>('Raw Data_Prices'!C83/'Raw Data_Prices'!C82)-1</f>
        <v>0.13168099814533818</v>
      </c>
      <c r="D83" s="10">
        <f>('Raw Data_Prices'!D83/'Raw Data_Prices'!D82)-1</f>
        <v>0.15589865276238357</v>
      </c>
      <c r="E83" s="10">
        <f>('Raw Data_Prices'!E83/'Raw Data_Prices'!E82)-1</f>
        <v>3.6089587092665409E-2</v>
      </c>
      <c r="F83" s="10">
        <f>('Raw Data_Prices'!F83/'Raw Data_Prices'!F82)-1</f>
        <v>6.6508313539192399E-2</v>
      </c>
      <c r="G83" s="10">
        <f>('Raw Data_Prices'!G83/'Raw Data_Prices'!G82)-1</f>
        <v>6.1460592913955114E-2</v>
      </c>
      <c r="H83" s="10">
        <f>('Raw Data_Prices'!H83/'Raw Data_Prices'!H82)-1</f>
        <v>8.7134104833219705E-2</v>
      </c>
      <c r="I83" s="10" cm="1">
        <f t="array" ref="I83">SUMPRODUCT(B83:H83,TRANSPOSE($O$2:$O$8))</f>
        <v>7.2958510392831577E-2</v>
      </c>
      <c r="J83" s="12">
        <f t="shared" si="4"/>
        <v>149229440.07958195</v>
      </c>
      <c r="K83" s="12">
        <f t="shared" si="6"/>
        <v>172285646.83756638</v>
      </c>
      <c r="L83" s="10">
        <f t="shared" si="5"/>
        <v>-0.13382546475111878</v>
      </c>
    </row>
    <row r="84" spans="1:12" x14ac:dyDescent="0.2">
      <c r="A84" s="1">
        <v>44926</v>
      </c>
      <c r="B84" s="10">
        <f>('Raw Data_Prices'!B84/'Raw Data_Prices'!B83)-1</f>
        <v>-5.7636594663278307E-2</v>
      </c>
      <c r="C84" s="10">
        <f>('Raw Data_Prices'!C84/'Raw Data_Prices'!C83)-1</f>
        <v>-2.20500595947557E-2</v>
      </c>
      <c r="D84" s="10">
        <f>('Raw Data_Prices'!D84/'Raw Data_Prices'!D83)-1</f>
        <v>-2.6368319120948169E-2</v>
      </c>
      <c r="E84" s="10">
        <f>('Raw Data_Prices'!E84/'Raw Data_Prices'!E83)-1</f>
        <v>-1.8748079090257108E-2</v>
      </c>
      <c r="F84" s="10">
        <f>('Raw Data_Prices'!F84/'Raw Data_Prices'!F83)-1</f>
        <v>-2.1622123236822555E-2</v>
      </c>
      <c r="G84" s="10">
        <f>('Raw Data_Prices'!G84/'Raw Data_Prices'!G83)-1</f>
        <v>-6.3578564940962701E-2</v>
      </c>
      <c r="H84" s="10">
        <f>('Raw Data_Prices'!H84/'Raw Data_Prices'!H83)-1</f>
        <v>-4.3206011271133216E-2</v>
      </c>
      <c r="I84" s="10" cm="1">
        <f t="array" ref="I84">SUMPRODUCT(B84:H84,TRANSPOSE($O$2:$O$8))</f>
        <v>-3.8507189057187523E-2</v>
      </c>
      <c r="J84" s="12">
        <f t="shared" si="4"/>
        <v>143483033.81753924</v>
      </c>
      <c r="K84" s="12">
        <f t="shared" si="6"/>
        <v>172285646.83756638</v>
      </c>
      <c r="L84" s="10">
        <f t="shared" si="5"/>
        <v>-0.16717941133646896</v>
      </c>
    </row>
    <row r="85" spans="1:12" x14ac:dyDescent="0.2">
      <c r="A85" s="1">
        <v>44957</v>
      </c>
      <c r="B85" s="10">
        <f>('Raw Data_Prices'!B85/'Raw Data_Prices'!B84)-1</f>
        <v>6.2887654387573377E-2</v>
      </c>
      <c r="C85" s="10">
        <f>('Raw Data_Prices'!C85/'Raw Data_Prices'!C84)-1</f>
        <v>9.0036563071298037E-2</v>
      </c>
      <c r="D85" s="10">
        <f>('Raw Data_Prices'!D85/'Raw Data_Prices'!D84)-1</f>
        <v>9.1292949189219152E-2</v>
      </c>
      <c r="E85" s="10">
        <f>('Raw Data_Prices'!E85/'Raw Data_Prices'!E84)-1</f>
        <v>3.5811234078095611E-2</v>
      </c>
      <c r="F85" s="10">
        <f>('Raw Data_Prices'!F85/'Raw Data_Prices'!F84)-1</f>
        <v>5.1598216826330257E-2</v>
      </c>
      <c r="G85" s="10">
        <f>('Raw Data_Prices'!G85/'Raw Data_Prices'!G84)-1</f>
        <v>0.10402521823472344</v>
      </c>
      <c r="H85" s="10">
        <f>('Raw Data_Prices'!H85/'Raw Data_Prices'!H84)-1</f>
        <v>5.2792321116928331E-2</v>
      </c>
      <c r="I85" s="10" cm="1">
        <f t="array" ref="I85">SUMPRODUCT(B85:H85,TRANSPOSE($O$2:$O$8))</f>
        <v>6.4940250669845004E-2</v>
      </c>
      <c r="J85" s="12">
        <f t="shared" si="4"/>
        <v>152800858.00052011</v>
      </c>
      <c r="K85" s="12">
        <f t="shared" si="6"/>
        <v>172285646.83756638</v>
      </c>
      <c r="L85" s="10">
        <f t="shared" si="5"/>
        <v>-0.11309583354565123</v>
      </c>
    </row>
    <row r="86" spans="1:12" x14ac:dyDescent="0.2">
      <c r="A86" s="1">
        <v>44985</v>
      </c>
      <c r="B86" s="10">
        <f>('Raw Data_Prices'!B86/'Raw Data_Prices'!B85)-1</f>
        <v>-2.5143350078652205E-2</v>
      </c>
      <c r="C86" s="10">
        <f>('Raw Data_Prices'!C86/'Raw Data_Prices'!C85)-1</f>
        <v>-3.0747728860936463E-2</v>
      </c>
      <c r="D86" s="10">
        <f>('Raw Data_Prices'!D86/'Raw Data_Prices'!D85)-1</f>
        <v>-7.5678382761934282E-2</v>
      </c>
      <c r="E86" s="10">
        <f>('Raw Data_Prices'!E86/'Raw Data_Prices'!E85)-1</f>
        <v>-3.477472029029316E-2</v>
      </c>
      <c r="F86" s="10">
        <f>('Raw Data_Prices'!F86/'Raw Data_Prices'!F85)-1</f>
        <v>-4.4646883737710863E-2</v>
      </c>
      <c r="G86" s="10">
        <f>('Raw Data_Prices'!G86/'Raw Data_Prices'!G85)-1</f>
        <v>-5.8642653195695171E-2</v>
      </c>
      <c r="H86" s="10">
        <f>('Raw Data_Prices'!H86/'Raw Data_Prices'!H85)-1</f>
        <v>-3.6054703688354617E-2</v>
      </c>
      <c r="I86" s="10" cm="1">
        <f t="array" ref="I86">SUMPRODUCT(B86:H86,TRANSPOSE($O$2:$O$8))</f>
        <v>-3.6828451611067542E-2</v>
      </c>
      <c r="J86" s="12">
        <f t="shared" si="4"/>
        <v>147173438.99551836</v>
      </c>
      <c r="K86" s="12">
        <f t="shared" si="6"/>
        <v>172285646.83756638</v>
      </c>
      <c r="L86" s="10">
        <f t="shared" si="5"/>
        <v>-0.14575914072356944</v>
      </c>
    </row>
    <row r="87" spans="1:12" x14ac:dyDescent="0.2">
      <c r="A87" s="1">
        <v>45016</v>
      </c>
      <c r="B87" s="10">
        <f>('Raw Data_Prices'!B87/'Raw Data_Prices'!B86)-1</f>
        <v>3.7087161335658259E-2</v>
      </c>
      <c r="C87" s="10">
        <f>('Raw Data_Prices'!C87/'Raw Data_Prices'!C86)-1</f>
        <v>3.1290555155010891E-2</v>
      </c>
      <c r="D87" s="10">
        <f>('Raw Data_Prices'!D87/'Raw Data_Prices'!D86)-1</f>
        <v>3.2170586342421537E-2</v>
      </c>
      <c r="E87" s="10">
        <f>('Raw Data_Prices'!E87/'Raw Data_Prices'!E86)-1</f>
        <v>3.5087719298245501E-2</v>
      </c>
      <c r="F87" s="10">
        <f>('Raw Data_Prices'!F87/'Raw Data_Prices'!F86)-1</f>
        <v>3.4837613293051239E-2</v>
      </c>
      <c r="G87" s="10">
        <f>('Raw Data_Prices'!G87/'Raw Data_Prices'!G86)-1</f>
        <v>-3.1264582361175797E-2</v>
      </c>
      <c r="H87" s="10">
        <f>('Raw Data_Prices'!H87/'Raw Data_Prices'!H86)-1</f>
        <v>2.5365434221840122E-2</v>
      </c>
      <c r="I87" s="10" cm="1">
        <f t="array" ref="I87">SUMPRODUCT(B87:H87,TRANSPOSE($O$2:$O$8))</f>
        <v>2.7339651366090845E-2</v>
      </c>
      <c r="J87" s="12">
        <f t="shared" si="4"/>
        <v>151197109.50800446</v>
      </c>
      <c r="K87" s="12">
        <f t="shared" si="6"/>
        <v>172285646.83756638</v>
      </c>
      <c r="L87" s="10">
        <f t="shared" si="5"/>
        <v>-0.12240449344828197</v>
      </c>
    </row>
    <row r="88" spans="1:12" x14ac:dyDescent="0.2">
      <c r="A88" s="1">
        <v>45046</v>
      </c>
      <c r="B88" s="10">
        <f>('Raw Data_Prices'!B88/'Raw Data_Prices'!B87)-1</f>
        <v>1.5960650471792626E-2</v>
      </c>
      <c r="C88" s="10">
        <f>('Raw Data_Prices'!C88/'Raw Data_Prices'!C87)-1</f>
        <v>2.9362416107382661E-2</v>
      </c>
      <c r="D88" s="10">
        <f>('Raw Data_Prices'!D88/'Raw Data_Prices'!D87)-1</f>
        <v>-8.3615337472354723E-3</v>
      </c>
      <c r="E88" s="10">
        <f>('Raw Data_Prices'!E88/'Raw Data_Prices'!E87)-1</f>
        <v>6.1541565778853169E-3</v>
      </c>
      <c r="F88" s="10">
        <f>('Raw Data_Prices'!F88/'Raw Data_Prices'!F87)-1</f>
        <v>2.9194416567832615E-3</v>
      </c>
      <c r="G88" s="10">
        <f>('Raw Data_Prices'!G88/'Raw Data_Prices'!G87)-1</f>
        <v>3.1310211946049549E-3</v>
      </c>
      <c r="H88" s="10">
        <f>('Raw Data_Prices'!H88/'Raw Data_Prices'!H87)-1</f>
        <v>2.6624737945492472E-2</v>
      </c>
      <c r="I88" s="10" cm="1">
        <f t="array" ref="I88">SUMPRODUCT(B88:H88,TRANSPOSE($O$2:$O$8))</f>
        <v>1.3272832265548548E-2</v>
      </c>
      <c r="J88" s="12">
        <f t="shared" si="4"/>
        <v>153203923.38154</v>
      </c>
      <c r="K88" s="12">
        <f t="shared" si="6"/>
        <v>172285646.83756638</v>
      </c>
      <c r="L88" s="10">
        <f t="shared" si="5"/>
        <v>-0.11075631549282183</v>
      </c>
    </row>
    <row r="89" spans="1:12" x14ac:dyDescent="0.2">
      <c r="A89" s="1">
        <v>45077</v>
      </c>
      <c r="B89" s="10">
        <f>('Raw Data_Prices'!B89/'Raw Data_Prices'!B88)-1</f>
        <v>4.6191087837170741E-3</v>
      </c>
      <c r="C89" s="10">
        <f>('Raw Data_Prices'!C89/'Raw Data_Prices'!C88)-1</f>
        <v>-4.0070632980168441E-2</v>
      </c>
      <c r="D89" s="10">
        <f>('Raw Data_Prices'!D89/'Raw Data_Prices'!D88)-1</f>
        <v>-2.4022442442872993E-2</v>
      </c>
      <c r="E89" s="10">
        <f>('Raw Data_Prices'!E89/'Raw Data_Prices'!E88)-1</f>
        <v>-1.674521207259605E-2</v>
      </c>
      <c r="F89" s="10">
        <f>('Raw Data_Prices'!F89/'Raw Data_Prices'!F88)-1</f>
        <v>-2.1013372145911036E-2</v>
      </c>
      <c r="G89" s="10">
        <f>('Raw Data_Prices'!G89/'Raw Data_Prices'!G88)-1</f>
        <v>-3.9615846338535432E-2</v>
      </c>
      <c r="H89" s="10">
        <f>('Raw Data_Prices'!H89/'Raw Data_Prices'!H88)-1</f>
        <v>-5.4523177455585103E-2</v>
      </c>
      <c r="I89" s="10" cm="1">
        <f t="array" ref="I89">SUMPRODUCT(B89:H89,TRANSPOSE($O$2:$O$8))</f>
        <v>-2.0690266442576162E-2</v>
      </c>
      <c r="J89" s="12">
        <f t="shared" si="4"/>
        <v>150034093.3867279</v>
      </c>
      <c r="K89" s="12">
        <f t="shared" si="6"/>
        <v>172285646.83756638</v>
      </c>
      <c r="L89" s="10">
        <f t="shared" si="5"/>
        <v>-0.12915500425765347</v>
      </c>
    </row>
    <row r="90" spans="1:12" x14ac:dyDescent="0.2">
      <c r="A90" s="1">
        <v>45107</v>
      </c>
      <c r="B90" s="10">
        <f>('Raw Data_Prices'!B90/'Raw Data_Prices'!B89)-1</f>
        <v>6.4812765852819032E-2</v>
      </c>
      <c r="C90" s="10">
        <f>('Raw Data_Prices'!C90/'Raw Data_Prices'!C89)-1</f>
        <v>2.5895004952596556E-2</v>
      </c>
      <c r="D90" s="10">
        <f>('Raw Data_Prices'!D90/'Raw Data_Prices'!D89)-1</f>
        <v>4.3993590520137182E-2</v>
      </c>
      <c r="E90" s="10">
        <f>('Raw Data_Prices'!E90/'Raw Data_Prices'!E89)-1</f>
        <v>-1.4888843565164289E-2</v>
      </c>
      <c r="F90" s="10">
        <f>('Raw Data_Prices'!F90/'Raw Data_Prices'!F89)-1</f>
        <v>4.8318156476490071E-3</v>
      </c>
      <c r="G90" s="10">
        <f>('Raw Data_Prices'!G90/'Raw Data_Prices'!G89)-1</f>
        <v>4.4499999999999984E-2</v>
      </c>
      <c r="H90" s="10">
        <f>('Raw Data_Prices'!H90/'Raw Data_Prices'!H89)-1</f>
        <v>1.403887688984895E-2</v>
      </c>
      <c r="I90" s="10" cm="1">
        <f t="array" ref="I90">SUMPRODUCT(B90:H90,TRANSPOSE($O$2:$O$8))</f>
        <v>2.8887060565458991E-2</v>
      </c>
      <c r="J90" s="12">
        <f t="shared" si="4"/>
        <v>154368137.32927403</v>
      </c>
      <c r="K90" s="12">
        <f>MAX(K89,J90)</f>
        <v>172285646.83756638</v>
      </c>
      <c r="L90" s="10">
        <f t="shared" si="5"/>
        <v>-0.10399885212251758</v>
      </c>
    </row>
    <row r="91" spans="1:12" x14ac:dyDescent="0.2">
      <c r="A91" s="1">
        <v>45138</v>
      </c>
      <c r="B91" s="10">
        <f>('Raw Data_Prices'!B91/'Raw Data_Prices'!B90)-1</f>
        <v>3.2719883621585399E-2</v>
      </c>
      <c r="C91" s="10">
        <f>('Raw Data_Prices'!C91/'Raw Data_Prices'!C90)-1</f>
        <v>2.7034482758620637E-2</v>
      </c>
      <c r="D91" s="10">
        <f>('Raw Data_Prices'!D91/'Raw Data_Prices'!D90)-1</f>
        <v>6.0412826253787522E-2</v>
      </c>
      <c r="E91" s="10">
        <f>('Raw Data_Prices'!E91/'Raw Data_Prices'!E90)-1</f>
        <v>-8.9026915113871175E-3</v>
      </c>
      <c r="F91" s="10">
        <f>('Raw Data_Prices'!F91/'Raw Data_Prices'!F90)-1</f>
        <v>-2.6817088958758228E-3</v>
      </c>
      <c r="G91" s="10">
        <f>('Raw Data_Prices'!G91/'Raw Data_Prices'!G90)-1</f>
        <v>2.0344662517951306E-2</v>
      </c>
      <c r="H91" s="10">
        <f>('Raw Data_Prices'!H91/'Raw Data_Prices'!H90)-1</f>
        <v>1.8317358892438795E-2</v>
      </c>
      <c r="I91" s="10" cm="1">
        <f t="array" ref="I91">SUMPRODUCT(B91:H91,TRANSPOSE($O$2:$O$8))</f>
        <v>1.8709271762132097E-2</v>
      </c>
      <c r="J91" s="12">
        <f t="shared" si="4"/>
        <v>157256252.76198152</v>
      </c>
      <c r="K91" s="12">
        <f t="shared" si="6"/>
        <v>172285646.83756638</v>
      </c>
      <c r="L91" s="10">
        <f t="shared" si="5"/>
        <v>-8.7235323147695554E-2</v>
      </c>
    </row>
    <row r="92" spans="1:12" x14ac:dyDescent="0.2">
      <c r="A92" s="1">
        <v>45169</v>
      </c>
      <c r="B92" s="10">
        <f>('Raw Data_Prices'!B92/'Raw Data_Prices'!B91)-1</f>
        <v>-1.625525444951248E-2</v>
      </c>
      <c r="C92" s="10">
        <f>('Raw Data_Prices'!C92/'Raw Data_Prices'!C91)-1</f>
        <v>-3.9349986569970352E-2</v>
      </c>
      <c r="D92" s="10">
        <f>('Raw Data_Prices'!D92/'Raw Data_Prices'!D91)-1</f>
        <v>-6.6269749489553442E-2</v>
      </c>
      <c r="E92" s="10">
        <f>('Raw Data_Prices'!E92/'Raw Data_Prices'!E91)-1</f>
        <v>-9.8182577814914795E-3</v>
      </c>
      <c r="F92" s="10">
        <f>('Raw Data_Prices'!F92/'Raw Data_Prices'!F91)-1</f>
        <v>-1.5669911914696355E-2</v>
      </c>
      <c r="G92" s="10">
        <f>('Raw Data_Prices'!G92/'Raw Data_Prices'!G91)-1</f>
        <v>-3.3779028852920612E-2</v>
      </c>
      <c r="H92" s="10">
        <f>('Raw Data_Prices'!H92/'Raw Data_Prices'!H91)-1</f>
        <v>-4.957121941016529E-2</v>
      </c>
      <c r="I92" s="10" cm="1">
        <f t="array" ref="I92">SUMPRODUCT(B92:H92,TRANSPOSE($O$2:$O$8))</f>
        <v>-2.595822936890349E-2</v>
      </c>
      <c r="J92" s="12">
        <f t="shared" si="4"/>
        <v>153174158.88309175</v>
      </c>
      <c r="K92" s="12">
        <f t="shared" si="6"/>
        <v>172285646.83756638</v>
      </c>
      <c r="L92" s="10">
        <f t="shared" si="5"/>
        <v>-0.11092907798926066</v>
      </c>
    </row>
    <row r="93" spans="1:12" x14ac:dyDescent="0.2">
      <c r="A93" s="1">
        <v>45199</v>
      </c>
      <c r="B93" s="10">
        <f>('Raw Data_Prices'!B93/'Raw Data_Prices'!B92)-1</f>
        <v>-4.7435052389935728E-2</v>
      </c>
      <c r="C93" s="10">
        <f>('Raw Data_Prices'!C93/'Raw Data_Prices'!C92)-1</f>
        <v>-3.6488186774779829E-2</v>
      </c>
      <c r="D93" s="10">
        <f>('Raw Data_Prices'!D93/'Raw Data_Prices'!D92)-1</f>
        <v>-3.1143794679479697E-2</v>
      </c>
      <c r="E93" s="10">
        <f>('Raw Data_Prices'!E93/'Raw Data_Prices'!E92)-1</f>
        <v>-3.3860759493670844E-2</v>
      </c>
      <c r="F93" s="10">
        <f>('Raw Data_Prices'!F93/'Raw Data_Prices'!F92)-1</f>
        <v>-3.8997739261492081E-2</v>
      </c>
      <c r="G93" s="10">
        <f>('Raw Data_Prices'!G93/'Raw Data_Prices'!G92)-1</f>
        <v>-8.1573197378004392E-2</v>
      </c>
      <c r="H93" s="10">
        <f>('Raw Data_Prices'!H93/'Raw Data_Prices'!H92)-1</f>
        <v>-4.731514084507038E-2</v>
      </c>
      <c r="I93" s="10" cm="1">
        <f t="array" ref="I93">SUMPRODUCT(B93:H93,TRANSPOSE($O$2:$O$8))</f>
        <v>-4.4821693114362536E-2</v>
      </c>
      <c r="J93" s="12">
        <f t="shared" si="4"/>
        <v>146308633.74058318</v>
      </c>
      <c r="K93" s="12">
        <f t="shared" si="6"/>
        <v>172285646.83756638</v>
      </c>
      <c r="L93" s="10">
        <f t="shared" si="5"/>
        <v>-0.1507787420125295</v>
      </c>
    </row>
    <row r="94" spans="1:12" x14ac:dyDescent="0.2">
      <c r="A94" s="1">
        <v>45230</v>
      </c>
      <c r="B94" s="10">
        <f>('Raw Data_Prices'!B94/'Raw Data_Prices'!B93)-1</f>
        <v>-2.1713194941541447E-2</v>
      </c>
      <c r="C94" s="10">
        <f>('Raw Data_Prices'!C94/'Raw Data_Prices'!C93)-1</f>
        <v>-2.901915264074284E-2</v>
      </c>
      <c r="D94" s="10">
        <f>('Raw Data_Prices'!D94/'Raw Data_Prices'!D93)-1</f>
        <v>-3.2939391190321077E-2</v>
      </c>
      <c r="E94" s="10">
        <f>('Raw Data_Prices'!E94/'Raw Data_Prices'!E93)-1</f>
        <v>-2.183644502674964E-2</v>
      </c>
      <c r="F94" s="10">
        <f>('Raw Data_Prices'!F94/'Raw Data_Prices'!F93)-1</f>
        <v>-2.7935698882571969E-2</v>
      </c>
      <c r="G94" s="10">
        <f>('Raw Data_Prices'!G94/'Raw Data_Prices'!G93)-1</f>
        <v>-3.6214644462067125E-2</v>
      </c>
      <c r="H94" s="10">
        <f>('Raw Data_Prices'!H94/'Raw Data_Prices'!H93)-1</f>
        <v>-2.6796026796026773E-2</v>
      </c>
      <c r="I94" s="10" cm="1">
        <f t="array" ref="I94">SUMPRODUCT(B94:H94,TRANSPOSE($O$2:$O$8))</f>
        <v>-2.5975726957506426E-2</v>
      </c>
      <c r="J94" s="12">
        <f t="shared" si="4"/>
        <v>142508160.619012</v>
      </c>
      <c r="K94" s="12">
        <f t="shared" si="6"/>
        <v>172285646.83756638</v>
      </c>
      <c r="L94" s="10">
        <f t="shared" si="5"/>
        <v>-0.17283788153652213</v>
      </c>
    </row>
    <row r="95" spans="1:12" x14ac:dyDescent="0.2">
      <c r="A95" s="1">
        <v>45260</v>
      </c>
      <c r="B95" s="10">
        <f>('Raw Data_Prices'!B95/'Raw Data_Prices'!B94)-1</f>
        <v>9.1365853658536444E-2</v>
      </c>
      <c r="C95" s="10">
        <f>('Raw Data_Prices'!C95/'Raw Data_Prices'!C94)-1</f>
        <v>8.2187686790197167E-2</v>
      </c>
      <c r="D95" s="10">
        <f>('Raw Data_Prices'!D95/'Raw Data_Prices'!D94)-1</f>
        <v>7.7930052277437101E-2</v>
      </c>
      <c r="E95" s="10">
        <f>('Raw Data_Prices'!E95/'Raw Data_Prices'!E94)-1</f>
        <v>4.2638687353499183E-2</v>
      </c>
      <c r="F95" s="10">
        <f>('Raw Data_Prices'!F95/'Raw Data_Prices'!F94)-1</f>
        <v>7.1795906019965772E-2</v>
      </c>
      <c r="G95" s="10">
        <f>('Raw Data_Prices'!G95/'Raw Data_Prices'!G94)-1</f>
        <v>0.1208173340647285</v>
      </c>
      <c r="H95" s="10">
        <f>('Raw Data_Prices'!H95/'Raw Data_Prices'!H94)-1</f>
        <v>9.3282696415855737E-2</v>
      </c>
      <c r="I95" s="10" cm="1">
        <f t="array" ref="I95">SUMPRODUCT(B95:H95,TRANSPOSE($O$2:$O$8))</f>
        <v>8.0751742850717206E-2</v>
      </c>
      <c r="J95" s="12">
        <f t="shared" si="4"/>
        <v>154015942.95944715</v>
      </c>
      <c r="K95" s="12">
        <f t="shared" si="6"/>
        <v>172285646.83756638</v>
      </c>
      <c r="L95" s="10">
        <f t="shared" si="5"/>
        <v>-0.10604309885050489</v>
      </c>
    </row>
    <row r="96" spans="1:12" x14ac:dyDescent="0.2">
      <c r="A96" s="1">
        <v>45291</v>
      </c>
      <c r="B96" s="10">
        <f>('Raw Data_Prices'!B96/'Raw Data_Prices'!B95)-1</f>
        <v>4.5635364054887662E-2</v>
      </c>
      <c r="C96" s="10">
        <f>('Raw Data_Prices'!C96/'Raw Data_Prices'!C95)-1</f>
        <v>4.0458436895884908E-2</v>
      </c>
      <c r="D96" s="10">
        <f>('Raw Data_Prices'!D96/'Raw Data_Prices'!D95)-1</f>
        <v>3.5654854677457992E-2</v>
      </c>
      <c r="E96" s="10">
        <f>('Raw Data_Prices'!E96/'Raw Data_Prices'!E95)-1</f>
        <v>3.190236591371387E-2</v>
      </c>
      <c r="F96" s="10">
        <f>('Raw Data_Prices'!F96/'Raw Data_Prices'!F95)-1</f>
        <v>4.1113933577947126E-2</v>
      </c>
      <c r="G96" s="10">
        <f>('Raw Data_Prices'!G96/'Raw Data_Prices'!G95)-1</f>
        <v>8.1120763489538561E-2</v>
      </c>
      <c r="H96" s="10">
        <f>('Raw Data_Prices'!H96/'Raw Data_Prices'!H95)-1</f>
        <v>2.1493703864524427E-2</v>
      </c>
      <c r="I96" s="10" cm="1">
        <f t="array" ref="I96">SUMPRODUCT(B96:H96,TRANSPOSE($O$2:$O$8))</f>
        <v>4.229543076066572E-2</v>
      </c>
      <c r="J96" s="12">
        <f t="shared" si="4"/>
        <v>160530113.6109271</v>
      </c>
      <c r="K96" s="12">
        <f t="shared" si="6"/>
        <v>172285646.83756638</v>
      </c>
      <c r="L96" s="10">
        <f t="shared" si="5"/>
        <v>-6.8232806634917043E-2</v>
      </c>
    </row>
    <row r="97" spans="1:12" x14ac:dyDescent="0.2">
      <c r="A97" s="1">
        <v>45322</v>
      </c>
      <c r="B97" s="10">
        <f>('Raw Data_Prices'!B97/'Raw Data_Prices'!B96)-1</f>
        <v>1.5944259211763567E-2</v>
      </c>
      <c r="C97" s="10">
        <f>('Raw Data_Prices'!C97/'Raw Data_Prices'!C96)-1</f>
        <v>-4.5122760451226096E-3</v>
      </c>
      <c r="D97" s="10">
        <f>('Raw Data_Prices'!D97/'Raw Data_Prices'!D96)-1</f>
        <v>-4.5262292118122383E-2</v>
      </c>
      <c r="E97" s="10">
        <f>('Raw Data_Prices'!E97/'Raw Data_Prices'!E96)-1</f>
        <v>7.2621641249082103E-4</v>
      </c>
      <c r="F97" s="10">
        <f>('Raw Data_Prices'!F97/'Raw Data_Prices'!F96)-1</f>
        <v>-4.4279775890113671E-3</v>
      </c>
      <c r="G97" s="10">
        <f>('Raw Data_Prices'!G97/'Raw Data_Prices'!G96)-1</f>
        <v>-5.0588501584427292E-2</v>
      </c>
      <c r="H97" s="10">
        <f>('Raw Data_Prices'!H97/'Raw Data_Prices'!H96)-1</f>
        <v>-3.5706695005313538E-2</v>
      </c>
      <c r="I97" s="10" cm="1">
        <f t="array" ref="I97">SUMPRODUCT(B97:H97,TRANSPOSE($O$2:$O$8))</f>
        <v>-7.0837523845224976E-3</v>
      </c>
      <c r="J97" s="12">
        <f t="shared" si="4"/>
        <v>159392958.03584802</v>
      </c>
      <c r="K97" s="12">
        <f t="shared" si="6"/>
        <v>172285646.83756638</v>
      </c>
      <c r="L97" s="10">
        <f t="shared" si="5"/>
        <v>-7.4833214712736851E-2</v>
      </c>
    </row>
    <row r="98" spans="1:12" x14ac:dyDescent="0.2">
      <c r="A98" s="1">
        <v>45351</v>
      </c>
      <c r="B98" s="10">
        <f>('Raw Data_Prices'!B98/'Raw Data_Prices'!B97)-1</f>
        <v>5.2173181301805149E-2</v>
      </c>
      <c r="C98" s="10">
        <f>('Raw Data_Prices'!C98/'Raw Data_Prices'!C97)-1</f>
        <v>2.9862684975336506E-2</v>
      </c>
      <c r="D98" s="10">
        <f>('Raw Data_Prices'!D98/'Raw Data_Prices'!D97)-1</f>
        <v>4.1676446113469989E-2</v>
      </c>
      <c r="E98" s="10">
        <f>('Raw Data_Prices'!E98/'Raw Data_Prices'!E97)-1</f>
        <v>-2.3222060957910018E-2</v>
      </c>
      <c r="F98" s="10">
        <f>('Raw Data_Prices'!F98/'Raw Data_Prices'!F97)-1</f>
        <v>-2.2782971770899607E-2</v>
      </c>
      <c r="G98" s="10">
        <f>('Raw Data_Prices'!G98/'Raw Data_Prices'!G97)-1</f>
        <v>1.9787817379902206E-2</v>
      </c>
      <c r="H98" s="10">
        <f>('Raw Data_Prices'!H98/'Raw Data_Prices'!H97)-1</f>
        <v>5.9510689883184309E-3</v>
      </c>
      <c r="I98" s="10" cm="1">
        <f t="array" ref="I98">SUMPRODUCT(B98:H98,TRANSPOSE($O$2:$O$8))</f>
        <v>1.7866358710665619E-2</v>
      </c>
      <c r="J98" s="12">
        <f t="shared" si="4"/>
        <v>162240729.80007055</v>
      </c>
      <c r="K98" s="12">
        <f t="shared" si="6"/>
        <v>172285646.83756638</v>
      </c>
      <c r="L98" s="10">
        <f t="shared" si="5"/>
        <v>-5.8303853059601285E-2</v>
      </c>
    </row>
    <row r="99" spans="1:12" x14ac:dyDescent="0.2">
      <c r="A99" s="1">
        <v>45382</v>
      </c>
      <c r="B99" s="10">
        <f>('Raw Data_Prices'!B99/'Raw Data_Prices'!B98)-1</f>
        <v>3.271084096453003E-2</v>
      </c>
      <c r="C99" s="10">
        <f>('Raw Data_Prices'!C99/'Raw Data_Prices'!C98)-1</f>
        <v>3.3786407766990267E-2</v>
      </c>
      <c r="D99" s="10">
        <f>('Raw Data_Prices'!D99/'Raw Data_Prices'!D98)-1</f>
        <v>2.7255595782487818E-2</v>
      </c>
      <c r="E99" s="10">
        <f>('Raw Data_Prices'!E99/'Raw Data_Prices'!E98)-1</f>
        <v>4.6699214604117856E-3</v>
      </c>
      <c r="F99" s="10">
        <f>('Raw Data_Prices'!F99/'Raw Data_Prices'!F98)-1</f>
        <v>1.1703511053316129E-2</v>
      </c>
      <c r="G99" s="10">
        <f>('Raw Data_Prices'!G99/'Raw Data_Prices'!G98)-1</f>
        <v>1.0870835768556519E-2</v>
      </c>
      <c r="H99" s="10">
        <f>('Raw Data_Prices'!H99/'Raw Data_Prices'!H98)-1</f>
        <v>4.3382997370727372E-2</v>
      </c>
      <c r="I99" s="10" cm="1">
        <f t="array" ref="I99">SUMPRODUCT(B99:H99,TRANSPOSE($O$2:$O$8))</f>
        <v>2.3773711954874297E-2</v>
      </c>
      <c r="J99" s="12">
        <f t="shared" si="4"/>
        <v>166097794.17768601</v>
      </c>
      <c r="K99" s="12">
        <f t="shared" si="6"/>
        <v>172285646.83756638</v>
      </c>
      <c r="L99" s="10">
        <f t="shared" si="5"/>
        <v>-3.5916240113225251E-2</v>
      </c>
    </row>
    <row r="100" spans="1:12" x14ac:dyDescent="0.2">
      <c r="A100" s="1">
        <v>45412</v>
      </c>
      <c r="B100" s="10">
        <f>('Raw Data_Prices'!B100/'Raw Data_Prices'!B99)-1</f>
        <v>-4.0329138431752121E-2</v>
      </c>
      <c r="C100" s="10">
        <f>('Raw Data_Prices'!C100/'Raw Data_Prices'!C99)-1</f>
        <v>-3.243175557225153E-2</v>
      </c>
      <c r="D100" s="10">
        <f>('Raw Data_Prices'!D100/'Raw Data_Prices'!D99)-1</f>
        <v>-2.1883965135205408E-3</v>
      </c>
      <c r="E100" s="10">
        <f>('Raw Data_Prices'!E100/'Raw Data_Prices'!E99)-1</f>
        <v>-3.4122121276146111E-2</v>
      </c>
      <c r="F100" s="10">
        <f>('Raw Data_Prices'!F100/'Raw Data_Prices'!F99)-1</f>
        <v>-3.6081527726771978E-2</v>
      </c>
      <c r="G100" s="10">
        <f>('Raw Data_Prices'!G100/'Raw Data_Prices'!G99)-1</f>
        <v>-7.9440333024976884E-2</v>
      </c>
      <c r="H100" s="10">
        <f>('Raw Data_Prices'!H100/'Raw Data_Prices'!H99)-1</f>
        <v>-6.5098698026038182E-3</v>
      </c>
      <c r="I100" s="10" cm="1">
        <f t="array" ref="I100">SUMPRODUCT(B100:H100,TRANSPOSE($O$2:$O$8))</f>
        <v>-3.6100522001703883E-2</v>
      </c>
      <c r="J100" s="12">
        <f t="shared" ref="J100:J122" si="7">J99*(1+I100)</f>
        <v>160101577.10453996</v>
      </c>
      <c r="K100" s="12">
        <f t="shared" si="6"/>
        <v>172285646.83756638</v>
      </c>
      <c r="L100" s="10">
        <f t="shared" si="5"/>
        <v>-7.0720167098503262E-2</v>
      </c>
    </row>
    <row r="101" spans="1:12" x14ac:dyDescent="0.2">
      <c r="A101" s="1">
        <v>45443</v>
      </c>
      <c r="B101" s="10">
        <f>('Raw Data_Prices'!B101/'Raw Data_Prices'!B100)-1</f>
        <v>5.0578005527871284E-2</v>
      </c>
      <c r="C101" s="10">
        <f>('Raw Data_Prices'!C101/'Raw Data_Prices'!C100)-1</f>
        <v>2.1353694836288462E-2</v>
      </c>
      <c r="D101" s="10">
        <f>('Raw Data_Prices'!D101/'Raw Data_Prices'!D100)-1</f>
        <v>1.9516447721748875E-2</v>
      </c>
      <c r="E101" s="10">
        <f>('Raw Data_Prices'!E101/'Raw Data_Prices'!E100)-1</f>
        <v>1.4984140872798646E-2</v>
      </c>
      <c r="F101" s="10">
        <f>('Raw Data_Prices'!F101/'Raw Data_Prices'!F100)-1</f>
        <v>1.6287265453852839E-2</v>
      </c>
      <c r="G101" s="10">
        <f>('Raw Data_Prices'!G101/'Raw Data_Prices'!G100)-1</f>
        <v>2.2107775405100005E-2</v>
      </c>
      <c r="H101" s="10">
        <f>('Raw Data_Prices'!H101/'Raw Data_Prices'!H100)-1</f>
        <v>6.5736630733460144E-2</v>
      </c>
      <c r="I101" s="10" cm="1">
        <f t="array" ref="I101">SUMPRODUCT(B101:H101,TRANSPOSE($O$2:$O$8))</f>
        <v>3.2762273603693132E-2</v>
      </c>
      <c r="J101" s="12">
        <f t="shared" si="7"/>
        <v>165346868.77802169</v>
      </c>
      <c r="K101" s="12">
        <f t="shared" si="6"/>
        <v>172285646.83756638</v>
      </c>
      <c r="L101" s="10">
        <f t="shared" si="5"/>
        <v>-4.0274846958590071E-2</v>
      </c>
    </row>
    <row r="102" spans="1:12" x14ac:dyDescent="0.2">
      <c r="A102" s="1">
        <v>45473</v>
      </c>
      <c r="B102" s="10">
        <f>('Raw Data_Prices'!B102/'Raw Data_Prices'!B101)-1</f>
        <v>3.5295925029765307E-2</v>
      </c>
      <c r="C102" s="10">
        <f>('Raw Data_Prices'!C102/'Raw Data_Prices'!C101)-1</f>
        <v>-7.4759249873289635E-3</v>
      </c>
      <c r="D102" s="10">
        <f>('Raw Data_Prices'!D102/'Raw Data_Prices'!D101)-1</f>
        <v>2.6177163830235495E-2</v>
      </c>
      <c r="E102" s="10">
        <f>('Raw Data_Prices'!E102/'Raw Data_Prices'!E101)-1</f>
        <v>9.1594827586207739E-3</v>
      </c>
      <c r="F102" s="10">
        <f>('Raw Data_Prices'!F102/'Raw Data_Prices'!F101)-1</f>
        <v>3.9362699156513248E-3</v>
      </c>
      <c r="G102" s="10">
        <f>('Raw Data_Prices'!G102/'Raw Data_Prices'!G101)-1</f>
        <v>2.9372004424234932E-2</v>
      </c>
      <c r="H102" s="10">
        <f>('Raw Data_Prices'!H102/'Raw Data_Prices'!H101)-1</f>
        <v>-4.9583498611662002E-2</v>
      </c>
      <c r="I102" s="10" cm="1">
        <f t="array" ref="I102">SUMPRODUCT(B102:H102,TRANSPOSE($O$2:$O$8))</f>
        <v>1.0980621076888603E-2</v>
      </c>
      <c r="J102" s="12">
        <f t="shared" si="7"/>
        <v>167162480.09032318</v>
      </c>
      <c r="K102" s="12">
        <f t="shared" si="6"/>
        <v>172285646.83756638</v>
      </c>
      <c r="L102" s="10">
        <f t="shared" si="5"/>
        <v>-2.9736468715083397E-2</v>
      </c>
    </row>
    <row r="103" spans="1:12" x14ac:dyDescent="0.2">
      <c r="A103" s="1">
        <v>45504</v>
      </c>
      <c r="B103" s="10">
        <f>('Raw Data_Prices'!B103/'Raw Data_Prices'!B102)-1</f>
        <v>1.2093782460305569E-2</v>
      </c>
      <c r="C103" s="10">
        <f>('Raw Data_Prices'!C103/'Raw Data_Prices'!C102)-1</f>
        <v>2.5915996425379895E-2</v>
      </c>
      <c r="D103" s="10">
        <f>('Raw Data_Prices'!D103/'Raw Data_Prices'!D102)-1</f>
        <v>8.452197332543987E-3</v>
      </c>
      <c r="E103" s="10">
        <f>('Raw Data_Prices'!E103/'Raw Data_Prices'!E102)-1</f>
        <v>2.5840896956753845E-2</v>
      </c>
      <c r="F103" s="10">
        <f>('Raw Data_Prices'!F103/'Raw Data_Prices'!F102)-1</f>
        <v>2.2778192681105258E-2</v>
      </c>
      <c r="G103" s="10">
        <f>('Raw Data_Prices'!G103/'Raw Data_Prices'!G102)-1</f>
        <v>7.9393505253104069E-2</v>
      </c>
      <c r="H103" s="10">
        <f>('Raw Data_Prices'!H103/'Raw Data_Prices'!H102)-1</f>
        <v>4.4866444073455636E-2</v>
      </c>
      <c r="I103" s="10" cm="1">
        <f t="array" ref="I103">SUMPRODUCT(B103:H103,TRANSPOSE($O$2:$O$8))</f>
        <v>2.7810137660643122E-2</v>
      </c>
      <c r="J103" s="12">
        <f t="shared" si="7"/>
        <v>171811291.67332959</v>
      </c>
      <c r="K103" s="12">
        <f t="shared" si="6"/>
        <v>172285646.83756638</v>
      </c>
      <c r="L103" s="10">
        <f t="shared" si="5"/>
        <v>-2.7533063429481253E-3</v>
      </c>
    </row>
    <row r="104" spans="1:12" x14ac:dyDescent="0.2">
      <c r="A104" s="1">
        <v>45535</v>
      </c>
      <c r="B104" s="10">
        <f>('Raw Data_Prices'!B104/'Raw Data_Prices'!B103)-1</f>
        <v>2.3367055201231501E-2</v>
      </c>
      <c r="C104" s="10">
        <f>('Raw Data_Prices'!C104/'Raw Data_Prices'!C103)-1</f>
        <v>3.2603285216525668E-2</v>
      </c>
      <c r="D104" s="10">
        <f>('Raw Data_Prices'!D104/'Raw Data_Prices'!D103)-1</f>
        <v>9.7782491961946327E-3</v>
      </c>
      <c r="E104" s="10">
        <f>('Raw Data_Prices'!E104/'Raw Data_Prices'!E103)-1</f>
        <v>1.0409076714895438E-2</v>
      </c>
      <c r="F104" s="10">
        <f>('Raw Data_Prices'!F104/'Raw Data_Prices'!F103)-1</f>
        <v>1.5060240963855387E-2</v>
      </c>
      <c r="G104" s="10">
        <f>('Raw Data_Prices'!G104/'Raw Data_Prices'!G103)-1</f>
        <v>5.2206614312576116E-2</v>
      </c>
      <c r="H104" s="10">
        <f>('Raw Data_Prices'!H104/'Raw Data_Prices'!H103)-1</f>
        <v>4.5136808468144496E-2</v>
      </c>
      <c r="I104" s="10" cm="1">
        <f t="array" ref="I104">SUMPRODUCT(B104:H104,TRANSPOSE($O$2:$O$8))</f>
        <v>2.571170352009472E-2</v>
      </c>
      <c r="J104" s="12">
        <f t="shared" si="7"/>
        <v>176228852.66623875</v>
      </c>
      <c r="K104" s="12">
        <f t="shared" si="6"/>
        <v>176228852.66623875</v>
      </c>
      <c r="L104" s="10">
        <f t="shared" si="5"/>
        <v>0</v>
      </c>
    </row>
    <row r="105" spans="1:12" x14ac:dyDescent="0.2">
      <c r="A105" s="1">
        <v>45565</v>
      </c>
      <c r="B105" s="10">
        <f>('Raw Data_Prices'!B105/'Raw Data_Prices'!B104)-1</f>
        <v>2.1006823188094437E-2</v>
      </c>
      <c r="C105" s="10">
        <f>('Raw Data_Prices'!C105/'Raw Data_Prices'!C104)-1</f>
        <v>7.8332128223668196E-3</v>
      </c>
      <c r="D105" s="10">
        <f>('Raw Data_Prices'!D105/'Raw Data_Prices'!D104)-1</f>
        <v>5.7412027310924429E-2</v>
      </c>
      <c r="E105" s="10">
        <f>('Raw Data_Prices'!E105/'Raw Data_Prices'!E104)-1</f>
        <v>1.0816936231585528E-2</v>
      </c>
      <c r="F105" s="10">
        <f>('Raw Data_Prices'!F105/'Raw Data_Prices'!F104)-1</f>
        <v>1.5915834906932824E-2</v>
      </c>
      <c r="G105" s="10">
        <f>('Raw Data_Prices'!G105/'Raw Data_Prices'!G104)-1</f>
        <v>2.4072322085567199E-2</v>
      </c>
      <c r="H105" s="10">
        <f>('Raw Data_Prices'!H105/'Raw Data_Prices'!H104)-1</f>
        <v>4.0129944582457444E-2</v>
      </c>
      <c r="I105" s="10" cm="1">
        <f t="array" ref="I105">SUMPRODUCT(B105:H105,TRANSPOSE($O$2:$O$8))</f>
        <v>2.0522827649142428E-2</v>
      </c>
      <c r="J105" s="12">
        <f t="shared" si="7"/>
        <v>179845567.0363141</v>
      </c>
      <c r="K105" s="12">
        <f t="shared" si="6"/>
        <v>179845567.0363141</v>
      </c>
      <c r="L105" s="10">
        <f t="shared" si="5"/>
        <v>0</v>
      </c>
    </row>
    <row r="106" spans="1:12" x14ac:dyDescent="0.2">
      <c r="A106" s="1">
        <v>45596</v>
      </c>
      <c r="B106" s="10">
        <f>('Raw Data_Prices'!B106/'Raw Data_Prices'!B105)-1</f>
        <v>-8.9279449940363742E-3</v>
      </c>
      <c r="C106" s="10">
        <f>('Raw Data_Prices'!C106/'Raw Data_Prices'!C105)-1</f>
        <v>-5.2732273107736427E-2</v>
      </c>
      <c r="D106" s="10">
        <f>('Raw Data_Prices'!D106/'Raw Data_Prices'!D105)-1</f>
        <v>-3.0744020825664853E-2</v>
      </c>
      <c r="E106" s="10">
        <f>('Raw Data_Prices'!E106/'Raw Data_Prices'!E105)-1</f>
        <v>-3.6689767631471804E-2</v>
      </c>
      <c r="F106" s="10">
        <f>('Raw Data_Prices'!F106/'Raw Data_Prices'!F105)-1</f>
        <v>-3.5315985130111582E-2</v>
      </c>
      <c r="G106" s="10">
        <f>('Raw Data_Prices'!G106/'Raw Data_Prices'!G105)-1</f>
        <v>-3.3566002874153122E-2</v>
      </c>
      <c r="H106" s="10">
        <f>('Raw Data_Prices'!H106/'Raw Data_Prices'!H105)-1</f>
        <v>-1.2860554841080285E-2</v>
      </c>
      <c r="I106" s="10" cm="1">
        <f t="array" ref="I106">SUMPRODUCT(B106:H106,TRANSPOSE($O$2:$O$8))</f>
        <v>-2.7637633316483477E-2</v>
      </c>
      <c r="J106" s="12">
        <f t="shared" si="7"/>
        <v>174875061.2009694</v>
      </c>
      <c r="K106" s="12">
        <f t="shared" si="6"/>
        <v>179845567.0363141</v>
      </c>
      <c r="L106" s="10">
        <f t="shared" si="5"/>
        <v>-2.7637633316483501E-2</v>
      </c>
    </row>
    <row r="107" spans="1:12" x14ac:dyDescent="0.2">
      <c r="A107" s="1">
        <v>45626</v>
      </c>
      <c r="B107" s="10">
        <f>('Raw Data_Prices'!B107/'Raw Data_Prices'!B106)-1</f>
        <v>5.9642850822080318E-2</v>
      </c>
      <c r="C107" s="10">
        <f>('Raw Data_Prices'!C107/'Raw Data_Prices'!C106)-1</f>
        <v>-3.1557687452663519E-3</v>
      </c>
      <c r="D107" s="10">
        <f>('Raw Data_Prices'!D107/'Raw Data_Prices'!D106)-1</f>
        <v>-2.6773152268157019E-2</v>
      </c>
      <c r="E107" s="10">
        <f>('Raw Data_Prices'!E107/'Raw Data_Prices'!E106)-1</f>
        <v>7.0884468895471286E-3</v>
      </c>
      <c r="F107" s="10">
        <f>('Raw Data_Prices'!F107/'Raw Data_Prices'!F106)-1</f>
        <v>1.4313239746765793E-2</v>
      </c>
      <c r="G107" s="10">
        <f>('Raw Data_Prices'!G107/'Raw Data_Prices'!G106)-1</f>
        <v>4.2591609134359887E-2</v>
      </c>
      <c r="H107" s="10">
        <f>('Raw Data_Prices'!H107/'Raw Data_Prices'!H106)-1</f>
        <v>3.6664805509026621E-2</v>
      </c>
      <c r="I107" s="10" cm="1">
        <f t="array" ref="I107">SUMPRODUCT(B107:H107,TRANSPOSE($O$2:$O$8))</f>
        <v>2.685548713835095E-2</v>
      </c>
      <c r="J107" s="12">
        <f t="shared" si="7"/>
        <v>179571416.15787035</v>
      </c>
      <c r="K107" s="12">
        <f t="shared" si="6"/>
        <v>179845567.0363141</v>
      </c>
      <c r="L107" s="10">
        <f t="shared" si="5"/>
        <v>-1.5243682841978856E-3</v>
      </c>
    </row>
    <row r="108" spans="1:12" x14ac:dyDescent="0.2">
      <c r="A108" s="1">
        <v>45657</v>
      </c>
      <c r="B108" s="10">
        <f>('Raw Data_Prices'!B108/'Raw Data_Prices'!B107)-1</f>
        <v>-2.406760977402167E-2</v>
      </c>
      <c r="C108" s="10">
        <f>('Raw Data_Prices'!C108/'Raw Data_Prices'!C107)-1</f>
        <v>-4.2547802963150527E-2</v>
      </c>
      <c r="D108" s="10">
        <f>('Raw Data_Prices'!D108/'Raw Data_Prices'!D107)-1</f>
        <v>-1.6957598950669284E-2</v>
      </c>
      <c r="E108" s="10">
        <f>('Raw Data_Prices'!E108/'Raw Data_Prices'!E107)-1</f>
        <v>-2.8784536190776255E-2</v>
      </c>
      <c r="F108" s="10">
        <f>('Raw Data_Prices'!F108/'Raw Data_Prices'!F107)-1</f>
        <v>-3.3559475350520063E-2</v>
      </c>
      <c r="G108" s="10">
        <f>('Raw Data_Prices'!G108/'Raw Data_Prices'!G107)-1</f>
        <v>-9.2502037489812561E-2</v>
      </c>
      <c r="H108" s="10">
        <f>('Raw Data_Prices'!H108/'Raw Data_Prices'!H107)-1</f>
        <v>-6.1579892280071769E-2</v>
      </c>
      <c r="I108" s="10" cm="1">
        <f t="array" ref="I108">SUMPRODUCT(B108:H108,TRANSPOSE($O$2:$O$8))</f>
        <v>-3.8971381074408236E-2</v>
      </c>
      <c r="J108" s="12">
        <f t="shared" si="7"/>
        <v>172573270.06871083</v>
      </c>
      <c r="K108" s="12">
        <f t="shared" si="6"/>
        <v>179845567.0363141</v>
      </c>
      <c r="L108" s="10">
        <f t="shared" si="5"/>
        <v>-4.043634262130491E-2</v>
      </c>
    </row>
    <row r="109" spans="1:12" x14ac:dyDescent="0.2">
      <c r="A109" s="1">
        <v>45688</v>
      </c>
      <c r="B109" s="10">
        <f>('Raw Data_Prices'!B109/'Raw Data_Prices'!B108)-1</f>
        <v>2.6868838992332833E-2</v>
      </c>
      <c r="C109" s="10">
        <f>('Raw Data_Prices'!C109/'Raw Data_Prices'!C108)-1</f>
        <v>4.8009522549927297E-2</v>
      </c>
      <c r="D109" s="10">
        <f>('Raw Data_Prices'!D109/'Raw Data_Prices'!D108)-1</f>
        <v>2.1520803443328518E-2</v>
      </c>
      <c r="E109" s="10">
        <f>('Raw Data_Prices'!E109/'Raw Data_Prices'!E108)-1</f>
        <v>6.1654948620875061E-3</v>
      </c>
      <c r="F109" s="10">
        <f>('Raw Data_Prices'!F109/'Raw Data_Prices'!F108)-1</f>
        <v>5.8030700112317035E-3</v>
      </c>
      <c r="G109" s="10">
        <f>('Raw Data_Prices'!G109/'Raw Data_Prices'!G108)-1</f>
        <v>1.6502020655590366E-2</v>
      </c>
      <c r="H109" s="10">
        <f>('Raw Data_Prices'!H109/'Raw Data_Prices'!H108)-1</f>
        <v>1.7600918308781299E-2</v>
      </c>
      <c r="I109" s="10" cm="1">
        <f t="array" ref="I109">SUMPRODUCT(B109:H109,TRANSPOSE($O$2:$O$8))</f>
        <v>2.1561820122333208E-2</v>
      </c>
      <c r="J109" s="12">
        <f t="shared" si="7"/>
        <v>176294263.87585524</v>
      </c>
      <c r="K109" s="12">
        <f t="shared" si="6"/>
        <v>179845567.0363141</v>
      </c>
      <c r="L109" s="10">
        <f t="shared" si="5"/>
        <v>-1.9746403644977151E-2</v>
      </c>
    </row>
    <row r="110" spans="1:12" x14ac:dyDescent="0.2">
      <c r="A110" s="1">
        <v>45716</v>
      </c>
      <c r="B110" s="10">
        <f>('Raw Data_Prices'!B110/'Raw Data_Prices'!B109)-1</f>
        <v>-1.2699576680777369E-2</v>
      </c>
      <c r="C110" s="10">
        <f>('Raw Data_Prices'!C110/'Raw Data_Prices'!C109)-1</f>
        <v>2.9530540131246896E-2</v>
      </c>
      <c r="D110" s="10">
        <f>('Raw Data_Prices'!D110/'Raw Data_Prices'!D109)-1</f>
        <v>1.1470037453183535E-2</v>
      </c>
      <c r="E110" s="10">
        <f>('Raw Data_Prices'!E110/'Raw Data_Prices'!E109)-1</f>
        <v>2.4725865405289094E-2</v>
      </c>
      <c r="F110" s="10">
        <f>('Raw Data_Prices'!F110/'Raw Data_Prices'!F109)-1</f>
        <v>2.0007444630560256E-2</v>
      </c>
      <c r="G110" s="10">
        <f>('Raw Data_Prices'!G110/'Raw Data_Prices'!G109)-1</f>
        <v>3.6996134732192321E-2</v>
      </c>
      <c r="H110" s="10">
        <f>('Raw Data_Prices'!H110/'Raw Data_Prices'!H109)-1</f>
        <v>5.2641473961270169E-3</v>
      </c>
      <c r="I110" s="10" cm="1">
        <f t="array" ref="I110">SUMPRODUCT(B110:H110,TRANSPOSE($O$2:$O$8))</f>
        <v>1.236515564505878E-2</v>
      </c>
      <c r="J110" s="12">
        <f t="shared" si="7"/>
        <v>178474169.88801125</v>
      </c>
      <c r="K110" s="12">
        <f t="shared" si="6"/>
        <v>179845567.0363141</v>
      </c>
      <c r="L110" s="10">
        <f t="shared" si="5"/>
        <v>-7.6254153544187409E-3</v>
      </c>
    </row>
    <row r="111" spans="1:12" x14ac:dyDescent="0.2">
      <c r="A111" s="1">
        <v>45747</v>
      </c>
      <c r="B111" s="10">
        <f>('Raw Data_Prices'!B111/'Raw Data_Prices'!B110)-1</f>
        <v>-5.5722484807562478E-2</v>
      </c>
      <c r="C111" s="10">
        <f>('Raw Data_Prices'!C111/'Raw Data_Prices'!C110)-1</f>
        <v>1.8386859524393007E-3</v>
      </c>
      <c r="D111" s="10">
        <f>('Raw Data_Prices'!D111/'Raw Data_Prices'!D110)-1</f>
        <v>1.1339967600092704E-2</v>
      </c>
      <c r="E111" s="10">
        <f>('Raw Data_Prices'!E111/'Raw Data_Prices'!E110)-1</f>
        <v>5.2454888795638865E-4</v>
      </c>
      <c r="F111" s="10">
        <f>('Raw Data_Prices'!F111/'Raw Data_Prices'!F110)-1</f>
        <v>-8.393394763251516E-3</v>
      </c>
      <c r="G111" s="10">
        <f>('Raw Data_Prices'!G111/'Raw Data_Prices'!G110)-1</f>
        <v>-3.578274760383382E-2</v>
      </c>
      <c r="H111" s="10">
        <f>('Raw Data_Prices'!H111/'Raw Data_Prices'!H110)-1</f>
        <v>2.2442491116513974E-2</v>
      </c>
      <c r="I111" s="10" cm="1">
        <f t="array" ref="I111">SUMPRODUCT(B111:H111,TRANSPOSE($O$2:$O$8))</f>
        <v>-1.7942399516864074E-2</v>
      </c>
      <c r="J111" s="12">
        <f t="shared" si="7"/>
        <v>175271915.02843988</v>
      </c>
      <c r="K111" s="12">
        <f t="shared" si="6"/>
        <v>179845567.0363141</v>
      </c>
      <c r="L111" s="10">
        <f t="shared" si="5"/>
        <v>-2.5430996622511803E-2</v>
      </c>
    </row>
    <row r="112" spans="1:12" x14ac:dyDescent="0.2">
      <c r="A112" s="1">
        <v>45777</v>
      </c>
      <c r="B112" s="10">
        <f>('Raw Data_Prices'!B112/'Raw Data_Prices'!B111)-1</f>
        <v>-8.6701585655803992E-3</v>
      </c>
      <c r="C112" s="10">
        <f>('Raw Data_Prices'!C112/'Raw Data_Prices'!C111)-1</f>
        <v>3.6950936008809387E-2</v>
      </c>
      <c r="D112" s="10">
        <f>('Raw Data_Prices'!D112/'Raw Data_Prices'!D111)-1</f>
        <v>1.3729977116703207E-3</v>
      </c>
      <c r="E112" s="10">
        <f>('Raw Data_Prices'!E112/'Raw Data_Prices'!E111)-1</f>
        <v>7.3398343294535096E-3</v>
      </c>
      <c r="F112" s="10">
        <f>('Raw Data_Prices'!F112/'Raw Data_Prices'!F111)-1</f>
        <v>-6.532339681663335E-3</v>
      </c>
      <c r="G112" s="10">
        <f>('Raw Data_Prices'!G112/'Raw Data_Prices'!G111)-1</f>
        <v>-2.4409100949856488E-2</v>
      </c>
      <c r="H112" s="10">
        <f>('Raw Data_Prices'!H112/'Raw Data_Prices'!H111)-1</f>
        <v>3.1461496250228649E-2</v>
      </c>
      <c r="I112" s="10" cm="1">
        <f t="array" ref="I112">SUMPRODUCT(B112:H112,TRANSPOSE($O$2:$O$8))</f>
        <v>4.5302151449923885E-3</v>
      </c>
      <c r="J112" s="12">
        <f t="shared" si="7"/>
        <v>176065934.51239353</v>
      </c>
      <c r="K112" s="12">
        <f t="shared" si="6"/>
        <v>179845567.0363141</v>
      </c>
      <c r="L112" s="10">
        <f t="shared" si="5"/>
        <v>-2.1015989363570964E-2</v>
      </c>
    </row>
    <row r="113" spans="1:12" x14ac:dyDescent="0.2">
      <c r="A113" s="1">
        <v>45808</v>
      </c>
      <c r="B113" s="10">
        <f>('Raw Data_Prices'!B113/'Raw Data_Prices'!B112)-1</f>
        <v>6.2844880441446982E-2</v>
      </c>
      <c r="C113" s="10">
        <f>('Raw Data_Prices'!C113/'Raw Data_Prices'!C112)-1</f>
        <v>4.7905604719764128E-2</v>
      </c>
      <c r="D113" s="10">
        <f>('Raw Data_Prices'!D113/'Raw Data_Prices'!D112)-1</f>
        <v>4.0219378427788E-2</v>
      </c>
      <c r="E113" s="10">
        <f>('Raw Data_Prices'!E113/'Raw Data_Prices'!E112)-1</f>
        <v>-1.5613615072343046E-2</v>
      </c>
      <c r="F113" s="10">
        <f>('Raw Data_Prices'!F113/'Raw Data_Prices'!F112)-1</f>
        <v>-1.9448045934432612E-3</v>
      </c>
      <c r="G113" s="10">
        <f>('Raw Data_Prices'!G113/'Raw Data_Prices'!G112)-1</f>
        <v>1.1207970112079746E-2</v>
      </c>
      <c r="H113" s="10">
        <f>('Raw Data_Prices'!H113/'Raw Data_Prices'!H112)-1</f>
        <v>4.6284802269906056E-2</v>
      </c>
      <c r="I113" s="10" cm="1">
        <f t="array" ref="I113">SUMPRODUCT(B113:H113,TRANSPOSE($O$2:$O$8))</f>
        <v>3.0482347526173757E-2</v>
      </c>
      <c r="J113" s="12">
        <f t="shared" si="7"/>
        <v>181432837.51572087</v>
      </c>
      <c r="K113" s="12">
        <f t="shared" si="6"/>
        <v>181432837.51572087</v>
      </c>
      <c r="L113" s="10">
        <f t="shared" si="5"/>
        <v>0</v>
      </c>
    </row>
    <row r="114" spans="1:12" x14ac:dyDescent="0.2">
      <c r="A114" s="1">
        <v>45838</v>
      </c>
      <c r="B114" s="10">
        <f>('Raw Data_Prices'!B114/'Raw Data_Prices'!B113)-1</f>
        <v>4.8287212202446694E-2</v>
      </c>
      <c r="C114" s="10">
        <f>('Raw Data_Prices'!C114/'Raw Data_Prices'!C113)-1</f>
        <v>6.5307960815224053E-3</v>
      </c>
      <c r="D114" s="10">
        <f>('Raw Data_Prices'!D114/'Raw Data_Prices'!D113)-1</f>
        <v>5.9753954305799661E-2</v>
      </c>
      <c r="E114" s="10">
        <f>('Raw Data_Prices'!E114/'Raw Data_Prices'!E113)-1</f>
        <v>1.268901342920592E-2</v>
      </c>
      <c r="F114" s="10">
        <f>('Raw Data_Prices'!F114/'Raw Data_Prices'!F113)-1</f>
        <v>1.7073397049271577E-2</v>
      </c>
      <c r="G114" s="10">
        <f>('Raw Data_Prices'!G114/'Raw Data_Prices'!G113)-1</f>
        <v>-2.9108822212269292E-3</v>
      </c>
      <c r="H114" s="10">
        <f>('Raw Data_Prices'!H114/'Raw Data_Prices'!H113)-1</f>
        <v>3.3898305084745228E-3</v>
      </c>
      <c r="I114" s="10" cm="1">
        <f t="array" ref="I114">SUMPRODUCT(B114:H114,TRANSPOSE($O$2:$O$8))</f>
        <v>2.274651800774545E-2</v>
      </c>
      <c r="J114" s="12">
        <f t="shared" si="7"/>
        <v>185559802.82146859</v>
      </c>
      <c r="K114" s="12">
        <f t="shared" si="6"/>
        <v>185559802.82146859</v>
      </c>
      <c r="L114" s="10">
        <f t="shared" si="5"/>
        <v>0</v>
      </c>
    </row>
    <row r="115" spans="1:12" x14ac:dyDescent="0.2">
      <c r="A115" s="1">
        <v>45869</v>
      </c>
      <c r="B115" s="10">
        <f>('Raw Data_Prices'!B115/'Raw Data_Prices'!B114)-1</f>
        <v>2.3031480132718274E-2</v>
      </c>
      <c r="C115" s="10">
        <f>('Raw Data_Prices'!C115/'Raw Data_Prices'!C114)-1</f>
        <v>-2.0919565946973973E-2</v>
      </c>
      <c r="D115" s="10">
        <f>('Raw Data_Prices'!D115/'Raw Data_Prices'!D114)-1</f>
        <v>6.6334991708125735E-3</v>
      </c>
      <c r="E115" s="10">
        <f>('Raw Data_Prices'!E115/'Raw Data_Prices'!E114)-1</f>
        <v>-9.0842643834184722E-3</v>
      </c>
      <c r="F115" s="10">
        <f>('Raw Data_Prices'!F115/'Raw Data_Prices'!F114)-1</f>
        <v>-4.5616275887236934E-3</v>
      </c>
      <c r="G115" s="10">
        <f>('Raw Data_Prices'!G115/'Raw Data_Prices'!G114)-1</f>
        <v>8.9827082865490127E-4</v>
      </c>
      <c r="H115" s="10">
        <f>('Raw Data_Prices'!H115/'Raw Data_Prices'!H114)-1</f>
        <v>-2.0270270270270618E-3</v>
      </c>
      <c r="I115" s="10" cm="1">
        <f t="array" ref="I115">SUMPRODUCT(B115:H115,TRANSPOSE($O$2:$O$8))</f>
        <v>1.7172928509167358E-3</v>
      </c>
      <c r="J115" s="12">
        <f t="shared" si="7"/>
        <v>185878463.34427142</v>
      </c>
      <c r="K115" s="12">
        <f t="shared" si="6"/>
        <v>185878463.34427142</v>
      </c>
      <c r="L115" s="10">
        <f t="shared" si="5"/>
        <v>0</v>
      </c>
    </row>
    <row r="116" spans="1:12" x14ac:dyDescent="0.2">
      <c r="A116" s="1">
        <v>45900</v>
      </c>
      <c r="B116" s="10">
        <f>('Raw Data_Prices'!B116/'Raw Data_Prices'!B115)-1</f>
        <v>2.0519554486773783E-2</v>
      </c>
      <c r="C116" s="10">
        <f>('Raw Data_Prices'!C116/'Raw Data_Prices'!C115)-1</f>
        <v>4.5246800731261416E-2</v>
      </c>
      <c r="D116" s="10">
        <f>('Raw Data_Prices'!D116/'Raw Data_Prices'!D115)-1</f>
        <v>2.6771004942339305E-2</v>
      </c>
      <c r="E116" s="10">
        <f>('Raw Data_Prices'!E116/'Raw Data_Prices'!E115)-1</f>
        <v>1.3171759747102163E-2</v>
      </c>
      <c r="F116" s="10">
        <f>('Raw Data_Prices'!F116/'Raw Data_Prices'!F115)-1</f>
        <v>6.323893318669116E-3</v>
      </c>
      <c r="G116" s="10">
        <f>('Raw Data_Prices'!G116/'Raw Data_Prices'!G115)-1</f>
        <v>3.4776755665245629E-2</v>
      </c>
      <c r="H116" s="10">
        <f>('Raw Data_Prices'!H116/'Raw Data_Prices'!H115)-1</f>
        <v>2.1496276235612788E-2</v>
      </c>
      <c r="I116" s="10" cm="1">
        <f t="array" ref="I116">SUMPRODUCT(B116:H116,TRANSPOSE($O$2:$O$8))</f>
        <v>2.3175481174211501E-2</v>
      </c>
      <c r="J116" s="12">
        <f t="shared" si="7"/>
        <v>190186286.17219794</v>
      </c>
      <c r="K116" s="12">
        <f t="shared" si="6"/>
        <v>190186286.17219794</v>
      </c>
      <c r="L116" s="10">
        <f t="shared" si="5"/>
        <v>0</v>
      </c>
    </row>
    <row r="117" spans="1:12" x14ac:dyDescent="0.2">
      <c r="A117" s="1">
        <v>45930</v>
      </c>
      <c r="B117" s="10">
        <f>('Raw Data_Prices'!B117/'Raw Data_Prices'!B116)-1</f>
        <v>3.2757150608480057E-2</v>
      </c>
      <c r="C117" s="10">
        <f>('Raw Data_Prices'!C117/'Raw Data_Prices'!C116)-1</f>
        <v>2.0660253607345913E-2</v>
      </c>
      <c r="D117" s="10">
        <f>('Raw Data_Prices'!D117/'Raw Data_Prices'!D116)-1</f>
        <v>7.099879663056563E-2</v>
      </c>
      <c r="E117" s="10">
        <f>('Raw Data_Prices'!E117/'Raw Data_Prices'!E116)-1</f>
        <v>3.2241289651584459E-3</v>
      </c>
      <c r="F117" s="10">
        <f>('Raw Data_Prices'!F117/'Raw Data_Prices'!F116)-1</f>
        <v>1.5209471766848726E-2</v>
      </c>
      <c r="G117" s="10">
        <f>('Raw Data_Prices'!G117/'Raw Data_Prices'!G116)-1</f>
        <v>-8.88985255854291E-3</v>
      </c>
      <c r="H117" s="10">
        <f>('Raw Data_Prices'!H117/'Raw Data_Prices'!H116)-1</f>
        <v>1.2758906379453094E-2</v>
      </c>
      <c r="I117" s="10" cm="1">
        <f t="array" ref="I117">SUMPRODUCT(B117:H117,TRANSPOSE($O$2:$O$8))</f>
        <v>1.9028801406981769E-2</v>
      </c>
      <c r="J117" s="12">
        <f t="shared" si="7"/>
        <v>193805303.24210009</v>
      </c>
      <c r="K117" s="12">
        <f t="shared" si="6"/>
        <v>193805303.24210009</v>
      </c>
      <c r="L117" s="10">
        <f t="shared" si="5"/>
        <v>0</v>
      </c>
    </row>
    <row r="118" spans="1:12" x14ac:dyDescent="0.2">
      <c r="A118" s="1">
        <v>45961</v>
      </c>
      <c r="B118" s="10">
        <f>('Raw Data_Prices'!B118/'Raw Data_Prices'!B117)-1</f>
        <v>2.38374013029512E-2</v>
      </c>
      <c r="C118" s="10">
        <f>('Raw Data_Prices'!C118/'Raw Data_Prices'!C117)-1</f>
        <v>1.1995287565599089E-2</v>
      </c>
      <c r="D118" s="10">
        <f>('Raw Data_Prices'!D118/'Raw Data_Prices'!D117)-1</f>
        <v>3.5580524344569264E-2</v>
      </c>
      <c r="E118" s="10">
        <f>('Raw Data_Prices'!E118/'Raw Data_Prices'!E117)-1</f>
        <v>4.0431266846361336E-3</v>
      </c>
      <c r="F118" s="10">
        <f>('Raw Data_Prices'!F118/'Raw Data_Prices'!F117)-1</f>
        <v>-2.1530456625100669E-3</v>
      </c>
      <c r="G118" s="10">
        <f>('Raw Data_Prices'!G118/'Raw Data_Prices'!G117)-1</f>
        <v>-2.4502297090352121E-2</v>
      </c>
      <c r="H118" s="10">
        <f>('Raw Data_Prices'!H118/'Raw Data_Prices'!H117)-1</f>
        <v>-1.9633507853402676E-3</v>
      </c>
      <c r="I118" s="10" cm="1">
        <f t="array" ref="I118">SUMPRODUCT(B118:H118,TRANSPOSE($O$2:$O$8))</f>
        <v>8.6762957260606653E-3</v>
      </c>
      <c r="J118" s="12">
        <f t="shared" si="7"/>
        <v>195486815.36630741</v>
      </c>
      <c r="K118" s="12">
        <f t="shared" si="6"/>
        <v>195486815.36630741</v>
      </c>
      <c r="L118" s="10">
        <f t="shared" si="5"/>
        <v>0</v>
      </c>
    </row>
    <row r="119" spans="1:12" x14ac:dyDescent="0.2">
      <c r="A119" s="1">
        <v>45991</v>
      </c>
      <c r="B119" s="10">
        <f>('Raw Data_Prices'!B119/'Raw Data_Prices'!B118)-1</f>
        <v>1.9499750755065381E-3</v>
      </c>
      <c r="C119" s="10">
        <f>('Raw Data_Prices'!C119/'Raw Data_Prices'!C118)-1</f>
        <v>7.408191342999304E-3</v>
      </c>
      <c r="D119" s="10">
        <f>('Raw Data_Prices'!D119/'Raw Data_Prices'!D118)-1</f>
        <v>-1.7721518987341756E-2</v>
      </c>
      <c r="E119" s="10">
        <f>('Raw Data_Prices'!E119/'Raw Data_Prices'!E118)-1</f>
        <v>6.7114093959732557E-3</v>
      </c>
      <c r="F119" s="10">
        <f>('Raw Data_Prices'!F119/'Raw Data_Prices'!F118)-1</f>
        <v>5.6639395846442842E-3</v>
      </c>
      <c r="G119" s="10">
        <f>('Raw Data_Prices'!G119/'Raw Data_Prices'!G118)-1</f>
        <v>2.4220677281901803E-2</v>
      </c>
      <c r="H119" s="10">
        <f>('Raw Data_Prices'!H119/'Raw Data_Prices'!H118)-1</f>
        <v>3.3770491803278624E-2</v>
      </c>
      <c r="I119" s="10" cm="1">
        <f t="array" ref="I119">SUMPRODUCT(B119:H119,TRANSPOSE($O$2:$O$8))</f>
        <v>8.5179380209118912E-3</v>
      </c>
      <c r="J119" s="12">
        <f t="shared" si="7"/>
        <v>197151959.94350308</v>
      </c>
      <c r="K119" s="12">
        <f t="shared" si="6"/>
        <v>197151959.94350308</v>
      </c>
      <c r="L119" s="10">
        <f t="shared" si="5"/>
        <v>0</v>
      </c>
    </row>
    <row r="120" spans="1:12" x14ac:dyDescent="0.2">
      <c r="A120" s="1">
        <v>46022</v>
      </c>
      <c r="B120" s="10">
        <f>('Raw Data_Prices'!B120/'Raw Data_Prices'!B119)-1</f>
        <v>-2.1510411331743251E-3</v>
      </c>
      <c r="C120" s="10">
        <f>('Raw Data_Prices'!C120/'Raw Data_Prices'!C119)-1</f>
        <v>8.8244563504569218E-3</v>
      </c>
      <c r="D120" s="10">
        <f>('Raw Data_Prices'!D120/'Raw Data_Prices'!D119)-1</f>
        <v>7.1796759941089583E-3</v>
      </c>
      <c r="E120" s="10">
        <f>('Raw Data_Prices'!E120/'Raw Data_Prices'!E119)-1</f>
        <v>-1.3743589743589801E-2</v>
      </c>
      <c r="F120" s="10">
        <f>('Raw Data_Prices'!F120/'Raw Data_Prices'!F119)-1</f>
        <v>-1.4929376005721418E-2</v>
      </c>
      <c r="G120" s="10">
        <f>('Raw Data_Prices'!G120/'Raw Data_Prices'!G119)-1</f>
        <v>-3.1202102036347767E-2</v>
      </c>
      <c r="H120" s="10">
        <f>('Raw Data_Prices'!H120/'Raw Data_Prices'!H119)-1</f>
        <v>-2.6958452267681565E-2</v>
      </c>
      <c r="I120" s="10" cm="1">
        <f t="array" ref="I120">SUMPRODUCT(B120:H120,TRANSPOSE($O$2:$O$8))</f>
        <v>-9.0203710673713473E-3</v>
      </c>
      <c r="J120" s="12">
        <f t="shared" si="7"/>
        <v>195373576.10815316</v>
      </c>
      <c r="K120" s="12">
        <f t="shared" si="6"/>
        <v>197151959.94350308</v>
      </c>
      <c r="L120" s="10">
        <f t="shared" si="5"/>
        <v>-9.0203710673713022E-3</v>
      </c>
    </row>
    <row r="121" spans="1:12" x14ac:dyDescent="0.2">
      <c r="A121" s="1">
        <v>46053</v>
      </c>
      <c r="B121" s="10">
        <f>('Raw Data_Prices'!B121/'Raw Data_Prices'!B120)-1</f>
        <v>1.4737799155326137E-2</v>
      </c>
      <c r="C121" s="10">
        <f>('Raw Data_Prices'!C121/'Raw Data_Prices'!C120)-1</f>
        <v>4.9047172758512891E-2</v>
      </c>
      <c r="D121" s="10">
        <f>('Raw Data_Prices'!D121/'Raw Data_Prices'!D120)-1</f>
        <v>8.0241272162310473E-2</v>
      </c>
      <c r="E121" s="10">
        <f>('Raw Data_Prices'!E121/'Raw Data_Prices'!E120)-1</f>
        <v>-2.2878535773710462E-3</v>
      </c>
      <c r="F121" s="10">
        <f>('Raw Data_Prices'!F121/'Raw Data_Prices'!F120)-1</f>
        <v>3.4485888011615007E-3</v>
      </c>
      <c r="G121" s="10">
        <f>('Raw Data_Prices'!G121/'Raw Data_Prices'!G120)-1</f>
        <v>2.6104644592609416E-2</v>
      </c>
      <c r="H121" s="10">
        <f>('Raw Data_Prices'!H121/'Raw Data_Prices'!H120)-1</f>
        <v>4.9706649282920345E-2</v>
      </c>
      <c r="I121" s="10" cm="1">
        <f t="array" ref="I121">SUMPRODUCT(B121:H121,TRANSPOSE($O$2:$O$8))</f>
        <v>2.3258896820685215E-2</v>
      </c>
      <c r="J121" s="12">
        <f t="shared" si="7"/>
        <v>199917749.956341</v>
      </c>
      <c r="K121" s="12">
        <f t="shared" si="6"/>
        <v>199917749.956341</v>
      </c>
      <c r="L121" s="10">
        <f t="shared" si="5"/>
        <v>0</v>
      </c>
    </row>
    <row r="122" spans="1:12" x14ac:dyDescent="0.2">
      <c r="A122" s="1">
        <v>46081</v>
      </c>
      <c r="B122" s="10">
        <f>('Raw Data_Prices'!B122/'Raw Data_Prices'!B121)-1</f>
        <v>-1.4783877913782439E-2</v>
      </c>
      <c r="C122" s="10">
        <f>('Raw Data_Prices'!C122/'Raw Data_Prices'!C121)-1</f>
        <v>3.4742902521342156E-2</v>
      </c>
      <c r="D122" s="10">
        <f>('Raw Data_Prices'!D122/'Raw Data_Prices'!D121)-1</f>
        <v>3.4179357021996593E-2</v>
      </c>
      <c r="E122" s="10">
        <f>('Raw Data_Prices'!E122/'Raw Data_Prices'!E121)-1</f>
        <v>1.3445903689806249E-2</v>
      </c>
      <c r="F122" s="10">
        <f>('Raw Data_Prices'!F122/'Raw Data_Prices'!F121)-1</f>
        <v>9.1344849416659102E-3</v>
      </c>
      <c r="G122" s="10">
        <f>('Raw Data_Prices'!G122/'Raw Data_Prices'!G121)-1</f>
        <v>4.1740088105727047E-2</v>
      </c>
      <c r="H122" s="10">
        <f>('Raw Data_Prices'!H122/'Raw Data_Prices'!H121)-1</f>
        <v>6.1325881074367317E-2</v>
      </c>
      <c r="I122" s="10" cm="1">
        <f t="array" ref="I122">SUMPRODUCT(B122:H122,TRANSPOSE($O$2:$O$8))</f>
        <v>1.6394466005303698E-2</v>
      </c>
      <c r="J122" s="12">
        <f t="shared" si="7"/>
        <v>203195294.71185705</v>
      </c>
      <c r="K122" s="12">
        <f t="shared" si="6"/>
        <v>203195294.71185705</v>
      </c>
      <c r="L122" s="10">
        <f t="shared" si="5"/>
        <v>0</v>
      </c>
    </row>
    <row r="124" spans="1:12" x14ac:dyDescent="0.2">
      <c r="L124" s="10"/>
    </row>
    <row r="125" spans="1:12" x14ac:dyDescent="0.2">
      <c r="I125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74A83-A8DD-5444-B18F-D1B7492C5EE4}">
  <dimension ref="A1:H9"/>
  <sheetViews>
    <sheetView zoomScale="141" workbookViewId="0">
      <selection activeCell="D14" sqref="D14"/>
    </sheetView>
  </sheetViews>
  <sheetFormatPr baseColWidth="10" defaultRowHeight="16" x14ac:dyDescent="0.2"/>
  <cols>
    <col min="1" max="1" width="17" bestFit="1" customWidth="1"/>
    <col min="2" max="2" width="4.83203125" bestFit="1" customWidth="1"/>
    <col min="6" max="6" width="17.1640625" bestFit="1" customWidth="1"/>
    <col min="7" max="7" width="20" bestFit="1" customWidth="1"/>
    <col min="8" max="8" width="11.83203125" bestFit="1" customWidth="1"/>
  </cols>
  <sheetData>
    <row r="1" spans="1:8" x14ac:dyDescent="0.2">
      <c r="A1" s="6" t="s">
        <v>9</v>
      </c>
      <c r="B1" s="6" t="s">
        <v>26</v>
      </c>
      <c r="C1" s="6" t="s">
        <v>27</v>
      </c>
      <c r="F1" s="3" t="s">
        <v>9</v>
      </c>
      <c r="G1" s="3" t="s">
        <v>10</v>
      </c>
      <c r="H1" s="3" t="s">
        <v>11</v>
      </c>
    </row>
    <row r="2" spans="1:8" x14ac:dyDescent="0.2">
      <c r="A2" s="9" t="s">
        <v>28</v>
      </c>
      <c r="B2" t="s">
        <v>2</v>
      </c>
      <c r="C2" s="7">
        <v>0.3</v>
      </c>
      <c r="F2" s="4" t="s">
        <v>12</v>
      </c>
      <c r="G2" s="4" t="s">
        <v>13</v>
      </c>
      <c r="H2" s="5" t="str">
        <f t="shared" ref="H2:H8" si="0">B2</f>
        <v>SPY</v>
      </c>
    </row>
    <row r="3" spans="1:8" x14ac:dyDescent="0.2">
      <c r="A3" s="9" t="s">
        <v>14</v>
      </c>
      <c r="B3" t="s">
        <v>3</v>
      </c>
      <c r="C3" s="7">
        <v>0.15</v>
      </c>
      <c r="F3" s="4" t="s">
        <v>14</v>
      </c>
      <c r="G3" s="4" t="s">
        <v>15</v>
      </c>
      <c r="H3" s="14" t="str">
        <f t="shared" si="0"/>
        <v>EFA</v>
      </c>
    </row>
    <row r="4" spans="1:8" x14ac:dyDescent="0.2">
      <c r="A4" s="9" t="s">
        <v>29</v>
      </c>
      <c r="B4" t="s">
        <v>4</v>
      </c>
      <c r="C4" s="7">
        <v>0.05</v>
      </c>
      <c r="F4" s="4" t="s">
        <v>16</v>
      </c>
      <c r="G4" s="4" t="s">
        <v>17</v>
      </c>
      <c r="H4" s="14" t="str">
        <f t="shared" si="0"/>
        <v>EEM</v>
      </c>
    </row>
    <row r="5" spans="1:8" x14ac:dyDescent="0.2">
      <c r="A5" s="9" t="s">
        <v>30</v>
      </c>
      <c r="B5" t="s">
        <v>5</v>
      </c>
      <c r="C5" s="7">
        <v>0.2</v>
      </c>
      <c r="F5" s="4" t="s">
        <v>18</v>
      </c>
      <c r="G5" s="4" t="s">
        <v>19</v>
      </c>
      <c r="H5" s="5" t="str">
        <f t="shared" si="0"/>
        <v>IEF</v>
      </c>
    </row>
    <row r="6" spans="1:8" x14ac:dyDescent="0.2">
      <c r="A6" s="9" t="s">
        <v>31</v>
      </c>
      <c r="B6" t="s">
        <v>6</v>
      </c>
      <c r="C6" s="7">
        <v>0.1</v>
      </c>
      <c r="F6" s="4" t="s">
        <v>20</v>
      </c>
      <c r="G6" s="4" t="s">
        <v>21</v>
      </c>
      <c r="H6" s="5" t="str">
        <f t="shared" si="0"/>
        <v>LQD</v>
      </c>
    </row>
    <row r="7" spans="1:8" x14ac:dyDescent="0.2">
      <c r="A7" s="9" t="s">
        <v>32</v>
      </c>
      <c r="B7" t="s">
        <v>7</v>
      </c>
      <c r="C7" s="7">
        <v>0.1</v>
      </c>
      <c r="F7" s="4" t="s">
        <v>22</v>
      </c>
      <c r="G7" s="4" t="s">
        <v>23</v>
      </c>
      <c r="H7" s="5" t="str">
        <f t="shared" si="0"/>
        <v>VNQ</v>
      </c>
    </row>
    <row r="8" spans="1:8" x14ac:dyDescent="0.2">
      <c r="A8" s="9" t="s">
        <v>24</v>
      </c>
      <c r="B8" t="s">
        <v>8</v>
      </c>
      <c r="C8" s="7">
        <v>0.1</v>
      </c>
      <c r="F8" s="4" t="s">
        <v>24</v>
      </c>
      <c r="G8" s="4" t="s">
        <v>25</v>
      </c>
      <c r="H8" s="5" t="str">
        <f t="shared" si="0"/>
        <v>IGF</v>
      </c>
    </row>
    <row r="9" spans="1:8" x14ac:dyDescent="0.2">
      <c r="C9" s="8">
        <f>SUM(C2:C8)</f>
        <v>0.99999999999999989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770EC-6E15-DA41-90F8-FB1F21D4403F}">
  <dimension ref="A1:H122"/>
  <sheetViews>
    <sheetView zoomScale="117" workbookViewId="0">
      <selection activeCell="J12" sqref="J12"/>
    </sheetView>
  </sheetViews>
  <sheetFormatPr baseColWidth="10" defaultRowHeight="16" x14ac:dyDescent="0.2"/>
  <cols>
    <col min="1" max="1" width="41" bestFit="1" customWidth="1"/>
    <col min="12" max="12" width="17.33203125" bestFit="1" customWidth="1"/>
    <col min="13" max="13" width="20" bestFit="1" customWidth="1"/>
    <col min="14" max="14" width="8.1640625" bestFit="1" customWidth="1"/>
  </cols>
  <sheetData>
    <row r="1" spans="1:8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 x14ac:dyDescent="0.2">
      <c r="A2" s="1">
        <v>42429</v>
      </c>
      <c r="B2" s="4">
        <v>165.46</v>
      </c>
      <c r="C2" s="4">
        <v>44.74</v>
      </c>
      <c r="D2" s="4">
        <v>25.028199999999998</v>
      </c>
      <c r="E2" s="4">
        <v>100.67</v>
      </c>
      <c r="F2" s="4">
        <v>97.71</v>
      </c>
      <c r="G2" s="4">
        <v>59</v>
      </c>
      <c r="H2" s="4">
        <v>29.7942</v>
      </c>
    </row>
    <row r="3" spans="1:8" x14ac:dyDescent="0.2">
      <c r="A3" s="1">
        <v>42460</v>
      </c>
      <c r="B3" s="4">
        <v>176.61</v>
      </c>
      <c r="C3" s="4">
        <v>47.68</v>
      </c>
      <c r="D3" s="4">
        <v>28.272099999999998</v>
      </c>
      <c r="E3" s="4">
        <v>100.63</v>
      </c>
      <c r="F3" s="4">
        <v>101.21</v>
      </c>
      <c r="G3" s="4">
        <v>65.17</v>
      </c>
      <c r="H3" s="4">
        <v>32.360500000000002</v>
      </c>
    </row>
    <row r="4" spans="1:8" x14ac:dyDescent="0.2">
      <c r="A4" s="1">
        <v>42490</v>
      </c>
      <c r="B4" s="4">
        <v>177.28</v>
      </c>
      <c r="C4" s="4">
        <v>48.74</v>
      </c>
      <c r="D4" s="4">
        <v>28.4039</v>
      </c>
      <c r="E4" s="4">
        <v>100.46</v>
      </c>
      <c r="F4" s="4">
        <v>102.82</v>
      </c>
      <c r="G4" s="4">
        <v>63.64</v>
      </c>
      <c r="H4" s="4">
        <v>33.0884</v>
      </c>
    </row>
    <row r="5" spans="1:8" x14ac:dyDescent="0.2">
      <c r="A5" s="1">
        <v>42521</v>
      </c>
      <c r="B5" s="4">
        <v>180.31</v>
      </c>
      <c r="C5" s="4">
        <v>48.7</v>
      </c>
      <c r="D5" s="4">
        <v>27.337900000000001</v>
      </c>
      <c r="E5" s="4">
        <v>100.38</v>
      </c>
      <c r="F5" s="4">
        <v>102.31</v>
      </c>
      <c r="G5" s="4">
        <v>65.069999999999993</v>
      </c>
      <c r="H5" s="4">
        <v>32.966099999999997</v>
      </c>
    </row>
    <row r="6" spans="1:8" x14ac:dyDescent="0.2">
      <c r="A6" s="1">
        <v>42551</v>
      </c>
      <c r="B6" s="4">
        <v>180.93</v>
      </c>
      <c r="C6" s="4">
        <v>47.52</v>
      </c>
      <c r="D6" s="4">
        <v>28.5852</v>
      </c>
      <c r="E6" s="4">
        <v>103.46</v>
      </c>
      <c r="F6" s="4">
        <v>105.42</v>
      </c>
      <c r="G6" s="4">
        <v>69.58</v>
      </c>
      <c r="H6" s="4">
        <v>34.025399999999998</v>
      </c>
    </row>
    <row r="7" spans="1:8" x14ac:dyDescent="0.2">
      <c r="A7" s="1">
        <v>42582</v>
      </c>
      <c r="B7" s="4">
        <v>187.54</v>
      </c>
      <c r="C7" s="4">
        <v>49.4</v>
      </c>
      <c r="D7" s="4">
        <v>30.12</v>
      </c>
      <c r="E7" s="4">
        <v>103.73</v>
      </c>
      <c r="F7" s="4">
        <v>106.81</v>
      </c>
      <c r="G7" s="4">
        <v>72.540000000000006</v>
      </c>
      <c r="H7" s="4">
        <v>34.9161</v>
      </c>
    </row>
    <row r="8" spans="1:8" x14ac:dyDescent="0.2">
      <c r="A8" s="1">
        <v>42613</v>
      </c>
      <c r="B8" s="4">
        <v>187.77</v>
      </c>
      <c r="C8" s="4">
        <v>49.66</v>
      </c>
      <c r="D8" s="4">
        <v>30.3903</v>
      </c>
      <c r="E8" s="4">
        <v>102.7</v>
      </c>
      <c r="F8" s="4">
        <v>106.97</v>
      </c>
      <c r="G8" s="4">
        <v>69.81</v>
      </c>
      <c r="H8" s="4">
        <v>34.310499999999998</v>
      </c>
    </row>
    <row r="9" spans="1:8" x14ac:dyDescent="0.2">
      <c r="A9" s="1">
        <v>42643</v>
      </c>
      <c r="B9" s="4">
        <v>187.78</v>
      </c>
      <c r="C9" s="4">
        <v>50.34</v>
      </c>
      <c r="D9" s="4">
        <v>31.154199999999999</v>
      </c>
      <c r="E9" s="4">
        <v>102.93</v>
      </c>
      <c r="F9" s="4">
        <v>106.69</v>
      </c>
      <c r="G9" s="4">
        <v>68.53</v>
      </c>
      <c r="H9" s="4">
        <v>34.948599999999999</v>
      </c>
    </row>
    <row r="10" spans="1:8" x14ac:dyDescent="0.2">
      <c r="A10" s="1">
        <v>42674</v>
      </c>
      <c r="B10" s="4">
        <v>184.51</v>
      </c>
      <c r="C10" s="4">
        <v>49.22</v>
      </c>
      <c r="D10" s="4">
        <v>30.896799999999999</v>
      </c>
      <c r="E10" s="4">
        <v>101.38</v>
      </c>
      <c r="F10" s="4">
        <v>105.01</v>
      </c>
      <c r="G10" s="4">
        <v>64.599999999999994</v>
      </c>
      <c r="H10" s="4">
        <v>33.8232</v>
      </c>
    </row>
    <row r="11" spans="1:8" x14ac:dyDescent="0.2">
      <c r="A11" s="1">
        <v>42704</v>
      </c>
      <c r="B11" s="4">
        <v>191.31</v>
      </c>
      <c r="C11" s="4">
        <v>48.35</v>
      </c>
      <c r="D11" s="4">
        <v>29.531300000000002</v>
      </c>
      <c r="E11" s="4">
        <v>97.07</v>
      </c>
      <c r="F11" s="4">
        <v>101.71</v>
      </c>
      <c r="G11" s="4">
        <v>63.52</v>
      </c>
      <c r="H11" s="4">
        <v>32.443399999999997</v>
      </c>
    </row>
    <row r="12" spans="1:8" x14ac:dyDescent="0.2">
      <c r="A12" s="1">
        <v>42735</v>
      </c>
      <c r="B12" s="4">
        <v>195.17</v>
      </c>
      <c r="C12" s="4">
        <v>49.65</v>
      </c>
      <c r="D12" s="4">
        <v>29.4588</v>
      </c>
      <c r="E12" s="4">
        <v>96.96</v>
      </c>
      <c r="F12" s="4">
        <v>102.57</v>
      </c>
      <c r="G12" s="4">
        <v>66.569999999999993</v>
      </c>
      <c r="H12" s="4">
        <v>33.278799999999997</v>
      </c>
    </row>
    <row r="13" spans="1:8" x14ac:dyDescent="0.2">
      <c r="A13" s="1">
        <v>42766</v>
      </c>
      <c r="B13" s="4">
        <v>198.68</v>
      </c>
      <c r="C13" s="4">
        <v>51.29</v>
      </c>
      <c r="D13" s="4">
        <v>31.418800000000001</v>
      </c>
      <c r="E13" s="4">
        <v>97.18</v>
      </c>
      <c r="F13" s="4">
        <v>102.71</v>
      </c>
      <c r="G13" s="4">
        <v>66.45</v>
      </c>
      <c r="H13" s="4">
        <v>33.857799999999997</v>
      </c>
    </row>
    <row r="14" spans="1:8" x14ac:dyDescent="0.2">
      <c r="A14" s="1">
        <v>42794</v>
      </c>
      <c r="B14" s="4">
        <v>206.5</v>
      </c>
      <c r="C14" s="4">
        <v>51.9</v>
      </c>
      <c r="D14" s="4">
        <v>31.965499999999999</v>
      </c>
      <c r="E14" s="4">
        <v>97.93</v>
      </c>
      <c r="F14" s="4">
        <v>104.03</v>
      </c>
      <c r="G14" s="4">
        <v>68.78</v>
      </c>
      <c r="H14" s="4">
        <v>34.787799999999997</v>
      </c>
    </row>
    <row r="15" spans="1:8" x14ac:dyDescent="0.2">
      <c r="A15" s="1">
        <v>42825</v>
      </c>
      <c r="B15" s="4">
        <v>206.73</v>
      </c>
      <c r="C15" s="4">
        <v>53.58</v>
      </c>
      <c r="D15" s="4">
        <v>33.144199999999998</v>
      </c>
      <c r="E15" s="4">
        <v>98.01</v>
      </c>
      <c r="F15" s="4">
        <v>103.73</v>
      </c>
      <c r="G15" s="4">
        <v>67.11</v>
      </c>
      <c r="H15" s="4">
        <v>36.075000000000003</v>
      </c>
    </row>
    <row r="16" spans="1:8" x14ac:dyDescent="0.2">
      <c r="A16" s="1">
        <v>42855</v>
      </c>
      <c r="B16" s="4">
        <v>208.78</v>
      </c>
      <c r="C16" s="4">
        <v>54.88</v>
      </c>
      <c r="D16" s="4">
        <v>33.7074</v>
      </c>
      <c r="E16" s="4">
        <v>99.07</v>
      </c>
      <c r="F16" s="4">
        <v>104.97</v>
      </c>
      <c r="G16" s="4">
        <v>67.27</v>
      </c>
      <c r="H16" s="4">
        <v>36.604599999999998</v>
      </c>
    </row>
    <row r="17" spans="1:8" x14ac:dyDescent="0.2">
      <c r="A17" s="1">
        <v>42886</v>
      </c>
      <c r="B17" s="4">
        <v>211.77</v>
      </c>
      <c r="C17" s="4">
        <v>56.82</v>
      </c>
      <c r="D17" s="4">
        <v>34.668100000000003</v>
      </c>
      <c r="E17" s="4">
        <v>99.89</v>
      </c>
      <c r="F17" s="4">
        <v>106.43</v>
      </c>
      <c r="G17" s="4">
        <v>66.78</v>
      </c>
      <c r="H17" s="4">
        <v>38.0702</v>
      </c>
    </row>
    <row r="18" spans="1:8" x14ac:dyDescent="0.2">
      <c r="A18" s="1">
        <v>42916</v>
      </c>
      <c r="B18" s="4">
        <v>213.09</v>
      </c>
      <c r="C18" s="4">
        <v>56.99</v>
      </c>
      <c r="D18" s="4">
        <v>34.986800000000002</v>
      </c>
      <c r="E18" s="4">
        <v>99.37</v>
      </c>
      <c r="F18" s="4">
        <v>106.9</v>
      </c>
      <c r="G18" s="4">
        <v>68.28</v>
      </c>
      <c r="H18" s="4">
        <v>38.1008</v>
      </c>
    </row>
    <row r="19" spans="1:8" x14ac:dyDescent="0.2">
      <c r="A19" s="1">
        <v>42947</v>
      </c>
      <c r="B19" s="4">
        <v>217.48</v>
      </c>
      <c r="C19" s="4">
        <v>58.5</v>
      </c>
      <c r="D19" s="4">
        <v>37.025300000000001</v>
      </c>
      <c r="E19" s="4">
        <v>99.74</v>
      </c>
      <c r="F19" s="4">
        <v>107.71</v>
      </c>
      <c r="G19" s="4">
        <v>69.12</v>
      </c>
      <c r="H19" s="4">
        <v>39.227200000000003</v>
      </c>
    </row>
    <row r="20" spans="1:8" x14ac:dyDescent="0.2">
      <c r="A20" s="1">
        <v>42978</v>
      </c>
      <c r="B20" s="4">
        <v>218.11</v>
      </c>
      <c r="C20" s="4">
        <v>58.47</v>
      </c>
      <c r="D20" s="4">
        <v>37.894500000000001</v>
      </c>
      <c r="E20" s="4">
        <v>101.19</v>
      </c>
      <c r="F20" s="4">
        <v>108.42</v>
      </c>
      <c r="G20" s="4">
        <v>68.94</v>
      </c>
      <c r="H20" s="4">
        <v>39.884099999999997</v>
      </c>
    </row>
    <row r="21" spans="1:8" x14ac:dyDescent="0.2">
      <c r="A21" s="1">
        <v>43008</v>
      </c>
      <c r="B21" s="4">
        <v>222.52</v>
      </c>
      <c r="C21" s="4">
        <v>59.85</v>
      </c>
      <c r="D21" s="4">
        <v>37.878</v>
      </c>
      <c r="E21" s="4">
        <v>99.73</v>
      </c>
      <c r="F21" s="4">
        <v>108.36</v>
      </c>
      <c r="G21" s="4">
        <v>68.86</v>
      </c>
      <c r="H21" s="4">
        <v>39.208399999999997</v>
      </c>
    </row>
    <row r="22" spans="1:8" x14ac:dyDescent="0.2">
      <c r="A22" s="1">
        <v>43039</v>
      </c>
      <c r="B22" s="4">
        <v>227.75</v>
      </c>
      <c r="C22" s="4">
        <v>60.86</v>
      </c>
      <c r="D22" s="4">
        <v>39.120699999999999</v>
      </c>
      <c r="E22" s="4">
        <v>99.55</v>
      </c>
      <c r="F22" s="4">
        <v>108.58</v>
      </c>
      <c r="G22" s="4">
        <v>68.12</v>
      </c>
      <c r="H22" s="4">
        <v>39.459899999999998</v>
      </c>
    </row>
    <row r="23" spans="1:8" x14ac:dyDescent="0.2">
      <c r="A23" s="1">
        <v>43069</v>
      </c>
      <c r="B23" s="4">
        <v>234.7</v>
      </c>
      <c r="C23" s="4">
        <v>61.28</v>
      </c>
      <c r="D23" s="4">
        <v>38.9696</v>
      </c>
      <c r="E23" s="4">
        <v>99.28</v>
      </c>
      <c r="F23" s="4">
        <v>108.44</v>
      </c>
      <c r="G23" s="4">
        <v>69.94</v>
      </c>
      <c r="H23" s="4">
        <v>40.119799999999998</v>
      </c>
    </row>
    <row r="24" spans="1:8" x14ac:dyDescent="0.2">
      <c r="A24" s="1">
        <v>43100</v>
      </c>
      <c r="B24" s="4">
        <v>237.55</v>
      </c>
      <c r="C24" s="4">
        <v>62.1</v>
      </c>
      <c r="D24" s="4">
        <v>40.437600000000003</v>
      </c>
      <c r="E24" s="4">
        <v>99.44</v>
      </c>
      <c r="F24" s="4">
        <v>109.8</v>
      </c>
      <c r="G24" s="4">
        <v>69.83</v>
      </c>
      <c r="H24" s="4">
        <v>39.706499999999998</v>
      </c>
    </row>
    <row r="25" spans="1:8" x14ac:dyDescent="0.2">
      <c r="A25" s="1">
        <v>43131</v>
      </c>
      <c r="B25" s="4">
        <v>250.92</v>
      </c>
      <c r="C25" s="4">
        <v>65.22</v>
      </c>
      <c r="D25" s="4">
        <v>43.792299999999997</v>
      </c>
      <c r="E25" s="4">
        <v>97.33</v>
      </c>
      <c r="F25" s="4">
        <v>108.41</v>
      </c>
      <c r="G25" s="4">
        <v>66.86</v>
      </c>
      <c r="H25" s="4">
        <v>40.188800000000001</v>
      </c>
    </row>
    <row r="26" spans="1:8" x14ac:dyDescent="0.2">
      <c r="A26" s="1">
        <v>43159</v>
      </c>
      <c r="B26" s="4">
        <v>241.82</v>
      </c>
      <c r="C26" s="4">
        <v>62.07</v>
      </c>
      <c r="D26" s="4">
        <v>41.210599999999999</v>
      </c>
      <c r="E26" s="4">
        <v>96.41</v>
      </c>
      <c r="F26" s="4">
        <v>106.02</v>
      </c>
      <c r="G26" s="4">
        <v>61.73</v>
      </c>
      <c r="H26" s="4">
        <v>37.456800000000001</v>
      </c>
    </row>
    <row r="27" spans="1:8" x14ac:dyDescent="0.2">
      <c r="A27" s="1">
        <v>43190</v>
      </c>
      <c r="B27" s="4">
        <v>235.2</v>
      </c>
      <c r="C27" s="4">
        <v>61.55</v>
      </c>
      <c r="D27" s="4">
        <v>41.433999999999997</v>
      </c>
      <c r="E27" s="4">
        <v>97.54</v>
      </c>
      <c r="F27" s="4">
        <v>106.62</v>
      </c>
      <c r="G27" s="4">
        <v>64.13</v>
      </c>
      <c r="H27" s="4">
        <v>37.624400000000001</v>
      </c>
    </row>
    <row r="28" spans="1:8" x14ac:dyDescent="0.2">
      <c r="A28" s="1">
        <v>43220</v>
      </c>
      <c r="B28" s="4">
        <v>236.4</v>
      </c>
      <c r="C28" s="4">
        <v>62.48</v>
      </c>
      <c r="D28" s="4">
        <v>40.266399999999997</v>
      </c>
      <c r="E28" s="4">
        <v>96.28</v>
      </c>
      <c r="F28" s="4">
        <v>104.9</v>
      </c>
      <c r="G28" s="4">
        <v>64.66</v>
      </c>
      <c r="H28" s="4">
        <v>38.380899999999997</v>
      </c>
    </row>
    <row r="29" spans="1:8" x14ac:dyDescent="0.2">
      <c r="A29" s="1">
        <v>43251</v>
      </c>
      <c r="B29" s="4">
        <v>242.15</v>
      </c>
      <c r="C29" s="4">
        <v>61.3</v>
      </c>
      <c r="D29" s="4">
        <v>39.210500000000003</v>
      </c>
      <c r="E29" s="4">
        <v>97.24</v>
      </c>
      <c r="F29" s="4">
        <v>105.47</v>
      </c>
      <c r="G29" s="4">
        <v>67.040000000000006</v>
      </c>
      <c r="H29" s="4">
        <v>37.737900000000003</v>
      </c>
    </row>
    <row r="30" spans="1:8" x14ac:dyDescent="0.2">
      <c r="A30" s="1">
        <v>43281</v>
      </c>
      <c r="B30" s="4">
        <v>243.57</v>
      </c>
      <c r="C30" s="4">
        <v>60.32</v>
      </c>
      <c r="D30" s="4">
        <v>37.429099999999998</v>
      </c>
      <c r="E30" s="4">
        <v>97.43</v>
      </c>
      <c r="F30" s="4">
        <v>104.94</v>
      </c>
      <c r="G30" s="4">
        <v>69.849999999999994</v>
      </c>
      <c r="H30" s="4">
        <v>38.337499999999999</v>
      </c>
    </row>
    <row r="31" spans="1:8" x14ac:dyDescent="0.2">
      <c r="A31" s="1">
        <v>43312</v>
      </c>
      <c r="B31" s="4">
        <v>252.6</v>
      </c>
      <c r="C31" s="4">
        <v>62.04</v>
      </c>
      <c r="D31" s="4">
        <v>38.750599999999999</v>
      </c>
      <c r="E31" s="4">
        <v>96.91</v>
      </c>
      <c r="F31" s="4">
        <v>106.41</v>
      </c>
      <c r="G31" s="4">
        <v>70.27</v>
      </c>
      <c r="H31" s="4">
        <v>39.050600000000003</v>
      </c>
    </row>
    <row r="32" spans="1:8" x14ac:dyDescent="0.2">
      <c r="A32" s="1">
        <v>43343</v>
      </c>
      <c r="B32" s="4">
        <v>260.64</v>
      </c>
      <c r="C32" s="4">
        <v>60.66</v>
      </c>
      <c r="D32" s="4">
        <v>37.289099999999998</v>
      </c>
      <c r="E32" s="4">
        <v>97.92</v>
      </c>
      <c r="F32" s="4">
        <v>106.42</v>
      </c>
      <c r="G32" s="4">
        <v>72.08</v>
      </c>
      <c r="H32" s="4">
        <v>38.041600000000003</v>
      </c>
    </row>
    <row r="33" spans="1:8" x14ac:dyDescent="0.2">
      <c r="A33" s="1">
        <v>43373</v>
      </c>
      <c r="B33" s="4">
        <v>262.2</v>
      </c>
      <c r="C33" s="4">
        <v>61.24</v>
      </c>
      <c r="D33" s="4">
        <v>37.073900000000002</v>
      </c>
      <c r="E33" s="4">
        <v>96.71</v>
      </c>
      <c r="F33" s="4">
        <v>106.27</v>
      </c>
      <c r="G33" s="4">
        <v>70.16</v>
      </c>
      <c r="H33" s="4">
        <v>37.596800000000002</v>
      </c>
    </row>
    <row r="34" spans="1:8" x14ac:dyDescent="0.2">
      <c r="A34" s="1">
        <v>43404</v>
      </c>
      <c r="B34" s="4">
        <v>244.08</v>
      </c>
      <c r="C34" s="4">
        <v>56.26</v>
      </c>
      <c r="D34" s="4">
        <v>33.825499999999998</v>
      </c>
      <c r="E34" s="4">
        <v>96.43</v>
      </c>
      <c r="F34" s="4">
        <v>104.06</v>
      </c>
      <c r="G34" s="4">
        <v>68.11</v>
      </c>
      <c r="H34" s="4">
        <v>36.203200000000002</v>
      </c>
    </row>
    <row r="35" spans="1:8" x14ac:dyDescent="0.2">
      <c r="A35" s="1">
        <v>43434</v>
      </c>
      <c r="B35" s="4">
        <v>248.59</v>
      </c>
      <c r="C35" s="4">
        <v>56.54</v>
      </c>
      <c r="D35" s="4">
        <v>35.484900000000003</v>
      </c>
      <c r="E35" s="4">
        <v>97.72</v>
      </c>
      <c r="F35" s="4">
        <v>103.7</v>
      </c>
      <c r="G35" s="4">
        <v>71.290000000000006</v>
      </c>
      <c r="H35" s="4">
        <v>36.900500000000001</v>
      </c>
    </row>
    <row r="36" spans="1:8" x14ac:dyDescent="0.2">
      <c r="A36" s="1">
        <v>43465</v>
      </c>
      <c r="B36" s="4">
        <v>226.7</v>
      </c>
      <c r="C36" s="4">
        <v>53.52</v>
      </c>
      <c r="D36" s="4">
        <v>34.243200000000002</v>
      </c>
      <c r="E36" s="4">
        <v>100.42</v>
      </c>
      <c r="F36" s="4">
        <v>105.63</v>
      </c>
      <c r="G36" s="4">
        <v>65.62</v>
      </c>
      <c r="H36" s="4">
        <v>35.756399999999999</v>
      </c>
    </row>
    <row r="37" spans="1:8" x14ac:dyDescent="0.2">
      <c r="A37" s="1">
        <v>43496</v>
      </c>
      <c r="B37" s="4">
        <v>244.84</v>
      </c>
      <c r="C37" s="4">
        <v>57.07</v>
      </c>
      <c r="D37" s="4">
        <v>37.784500000000001</v>
      </c>
      <c r="E37" s="4">
        <v>101.08</v>
      </c>
      <c r="F37" s="4">
        <v>109.19</v>
      </c>
      <c r="G37" s="4">
        <v>73.400000000000006</v>
      </c>
      <c r="H37" s="4">
        <v>38.789299999999997</v>
      </c>
    </row>
    <row r="38" spans="1:8" x14ac:dyDescent="0.2">
      <c r="A38" s="1">
        <v>43524</v>
      </c>
      <c r="B38" s="4">
        <v>252.81</v>
      </c>
      <c r="C38" s="4">
        <v>58.52</v>
      </c>
      <c r="D38" s="4">
        <v>37.206699999999998</v>
      </c>
      <c r="E38" s="4">
        <v>100.54</v>
      </c>
      <c r="F38" s="4">
        <v>108.95</v>
      </c>
      <c r="G38" s="4">
        <v>73.91</v>
      </c>
      <c r="H38" s="4">
        <v>39.832799999999999</v>
      </c>
    </row>
    <row r="39" spans="1:8" x14ac:dyDescent="0.2">
      <c r="A39" s="1">
        <v>43555</v>
      </c>
      <c r="B39" s="4">
        <v>257.36</v>
      </c>
      <c r="C39" s="4">
        <v>59.05</v>
      </c>
      <c r="D39" s="4">
        <v>37.627800000000001</v>
      </c>
      <c r="E39" s="4">
        <v>103.26</v>
      </c>
      <c r="F39" s="4">
        <v>112.16</v>
      </c>
      <c r="G39" s="4">
        <v>77.03</v>
      </c>
      <c r="H39" s="4">
        <v>40.694800000000001</v>
      </c>
    </row>
    <row r="40" spans="1:8" x14ac:dyDescent="0.2">
      <c r="A40" s="1">
        <v>43585</v>
      </c>
      <c r="B40" s="4">
        <v>267.89</v>
      </c>
      <c r="C40" s="4">
        <v>60.78</v>
      </c>
      <c r="D40" s="4">
        <v>38.513599999999997</v>
      </c>
      <c r="E40" s="4">
        <v>102.73</v>
      </c>
      <c r="F40" s="4">
        <v>112.66</v>
      </c>
      <c r="G40" s="4">
        <v>76.91</v>
      </c>
      <c r="H40" s="4">
        <v>41.304299999999998</v>
      </c>
    </row>
    <row r="41" spans="1:8" x14ac:dyDescent="0.2">
      <c r="A41" s="1">
        <v>43616</v>
      </c>
      <c r="B41" s="4">
        <v>250.78</v>
      </c>
      <c r="C41" s="4">
        <v>57.72</v>
      </c>
      <c r="D41" s="4">
        <v>35.689100000000003</v>
      </c>
      <c r="E41" s="4">
        <v>105.85</v>
      </c>
      <c r="F41" s="4">
        <v>114.48</v>
      </c>
      <c r="G41" s="4">
        <v>77.010000000000005</v>
      </c>
      <c r="H41" s="4">
        <v>40.596200000000003</v>
      </c>
    </row>
    <row r="42" spans="1:8" x14ac:dyDescent="0.2">
      <c r="A42" s="1">
        <v>43646</v>
      </c>
      <c r="B42" s="4">
        <v>268.25</v>
      </c>
      <c r="C42" s="4">
        <v>61.14</v>
      </c>
      <c r="D42" s="4">
        <v>37.903700000000001</v>
      </c>
      <c r="E42" s="4">
        <v>107.11</v>
      </c>
      <c r="F42" s="4">
        <v>118.22</v>
      </c>
      <c r="G42" s="4">
        <v>78.209999999999994</v>
      </c>
      <c r="H42" s="4">
        <v>42.676299999999998</v>
      </c>
    </row>
    <row r="43" spans="1:8" x14ac:dyDescent="0.2">
      <c r="A43" s="1">
        <v>43677</v>
      </c>
      <c r="B43" s="4">
        <v>272.29000000000002</v>
      </c>
      <c r="C43" s="4">
        <v>59.95</v>
      </c>
      <c r="D43" s="4">
        <v>36.897300000000001</v>
      </c>
      <c r="E43" s="4">
        <v>107.15</v>
      </c>
      <c r="F43" s="4">
        <v>118.51</v>
      </c>
      <c r="G43" s="4">
        <v>79.55</v>
      </c>
      <c r="H43" s="4">
        <v>41.799500000000002</v>
      </c>
    </row>
    <row r="44" spans="1:8" x14ac:dyDescent="0.2">
      <c r="A44" s="1">
        <v>43708</v>
      </c>
      <c r="B44" s="4">
        <v>267.75</v>
      </c>
      <c r="C44" s="4">
        <v>58.8</v>
      </c>
      <c r="D44" s="4">
        <v>35.500599999999999</v>
      </c>
      <c r="E44" s="4">
        <v>111.4</v>
      </c>
      <c r="F44" s="4">
        <v>123.11</v>
      </c>
      <c r="G44" s="4">
        <v>82.52</v>
      </c>
      <c r="H44" s="4">
        <v>41.992800000000003</v>
      </c>
    </row>
    <row r="45" spans="1:8" x14ac:dyDescent="0.2">
      <c r="A45" s="1">
        <v>43738</v>
      </c>
      <c r="B45" s="4">
        <v>272.95</v>
      </c>
      <c r="C45" s="4">
        <v>60.66</v>
      </c>
      <c r="D45" s="4">
        <v>36.102200000000003</v>
      </c>
      <c r="E45" s="4">
        <v>110.07</v>
      </c>
      <c r="F45" s="4">
        <v>122.19</v>
      </c>
      <c r="G45" s="4">
        <v>84.11</v>
      </c>
      <c r="H45" s="4">
        <v>42.9268</v>
      </c>
    </row>
    <row r="46" spans="1:8" x14ac:dyDescent="0.2">
      <c r="A46" s="1">
        <v>43769</v>
      </c>
      <c r="B46" s="4">
        <v>278.99</v>
      </c>
      <c r="C46" s="4">
        <v>62.71</v>
      </c>
      <c r="D46" s="4">
        <v>37.613199999999999</v>
      </c>
      <c r="E46" s="4">
        <v>110.28</v>
      </c>
      <c r="F46" s="4">
        <v>122.74</v>
      </c>
      <c r="G46" s="4">
        <v>85.06</v>
      </c>
      <c r="H46" s="4">
        <v>43.572800000000001</v>
      </c>
    </row>
    <row r="47" spans="1:8" x14ac:dyDescent="0.2">
      <c r="A47" s="1">
        <v>43799</v>
      </c>
      <c r="B47" s="4">
        <v>289.07</v>
      </c>
      <c r="C47" s="4">
        <v>63.42</v>
      </c>
      <c r="D47" s="4">
        <v>37.5777</v>
      </c>
      <c r="E47" s="4">
        <v>109.52</v>
      </c>
      <c r="F47" s="4">
        <v>123.32</v>
      </c>
      <c r="G47" s="4">
        <v>83.95</v>
      </c>
      <c r="H47" s="4">
        <v>43.240400000000001</v>
      </c>
    </row>
    <row r="48" spans="1:8" x14ac:dyDescent="0.2">
      <c r="A48" s="1">
        <v>43830</v>
      </c>
      <c r="B48" s="4">
        <v>297.48</v>
      </c>
      <c r="C48" s="4">
        <v>65.319999999999993</v>
      </c>
      <c r="D48" s="4">
        <v>40.2361</v>
      </c>
      <c r="E48" s="4">
        <v>108.49</v>
      </c>
      <c r="F48" s="4">
        <v>123.99</v>
      </c>
      <c r="G48" s="4">
        <v>84.6</v>
      </c>
      <c r="H48" s="4">
        <v>44.993099999999998</v>
      </c>
    </row>
    <row r="49" spans="1:8" x14ac:dyDescent="0.2">
      <c r="A49" s="1">
        <v>43861</v>
      </c>
      <c r="B49" s="4">
        <v>297.35000000000002</v>
      </c>
      <c r="C49" s="4">
        <v>63.48</v>
      </c>
      <c r="D49" s="4">
        <v>37.761699999999998</v>
      </c>
      <c r="E49" s="4">
        <v>112.27</v>
      </c>
      <c r="F49" s="4">
        <v>127.01</v>
      </c>
      <c r="G49" s="4">
        <v>85.63</v>
      </c>
      <c r="H49" s="4">
        <v>45.546399999999998</v>
      </c>
    </row>
    <row r="50" spans="1:8" x14ac:dyDescent="0.2">
      <c r="A50" s="1">
        <v>43890</v>
      </c>
      <c r="B50" s="4">
        <v>273.83</v>
      </c>
      <c r="C50" s="4">
        <v>58.55</v>
      </c>
      <c r="D50" s="4">
        <v>36.334899999999998</v>
      </c>
      <c r="E50" s="4">
        <v>115.59</v>
      </c>
      <c r="F50" s="4">
        <v>128.41</v>
      </c>
      <c r="G50" s="4">
        <v>79.62</v>
      </c>
      <c r="H50" s="4">
        <v>41.452300000000001</v>
      </c>
    </row>
    <row r="51" spans="1:8" x14ac:dyDescent="0.2">
      <c r="A51" s="1">
        <v>43921</v>
      </c>
      <c r="B51" s="4">
        <v>239.64</v>
      </c>
      <c r="C51" s="4">
        <v>50.29</v>
      </c>
      <c r="D51" s="4">
        <v>30.604600000000001</v>
      </c>
      <c r="E51" s="4">
        <v>119.91</v>
      </c>
      <c r="F51" s="4">
        <v>119.98</v>
      </c>
      <c r="G51" s="4">
        <v>64.180000000000007</v>
      </c>
      <c r="H51" s="4">
        <v>32.071599999999997</v>
      </c>
    </row>
    <row r="52" spans="1:8" x14ac:dyDescent="0.2">
      <c r="A52" s="1">
        <v>43951</v>
      </c>
      <c r="B52" s="4">
        <v>270.07</v>
      </c>
      <c r="C52" s="4">
        <v>53.21</v>
      </c>
      <c r="D52" s="4">
        <v>32.855600000000003</v>
      </c>
      <c r="E52" s="4">
        <v>120.22</v>
      </c>
      <c r="F52" s="4">
        <v>125.79</v>
      </c>
      <c r="G52" s="4">
        <v>69.930000000000007</v>
      </c>
      <c r="H52" s="4">
        <v>34.5886</v>
      </c>
    </row>
    <row r="53" spans="1:8" x14ac:dyDescent="0.2">
      <c r="A53" s="1">
        <v>43982</v>
      </c>
      <c r="B53" s="4">
        <v>282.93</v>
      </c>
      <c r="C53" s="4">
        <v>56.1</v>
      </c>
      <c r="D53" s="4">
        <v>33.832799999999999</v>
      </c>
      <c r="E53" s="4">
        <v>120.49</v>
      </c>
      <c r="F53" s="4">
        <v>128.58000000000001</v>
      </c>
      <c r="G53" s="4">
        <v>71.14</v>
      </c>
      <c r="H53" s="4">
        <v>36.672699999999999</v>
      </c>
    </row>
    <row r="54" spans="1:8" x14ac:dyDescent="0.2">
      <c r="A54" s="1">
        <v>44012</v>
      </c>
      <c r="B54" s="4">
        <v>287.95</v>
      </c>
      <c r="C54" s="4">
        <v>58.07</v>
      </c>
      <c r="D54" s="4">
        <v>36.068399999999997</v>
      </c>
      <c r="E54" s="4">
        <v>120.54</v>
      </c>
      <c r="F54" s="4">
        <v>131.29</v>
      </c>
      <c r="G54" s="4">
        <v>72.87</v>
      </c>
      <c r="H54" s="4">
        <v>36.364899999999999</v>
      </c>
    </row>
    <row r="55" spans="1:8" x14ac:dyDescent="0.2">
      <c r="A55" s="1">
        <v>44043</v>
      </c>
      <c r="B55" s="4">
        <v>304.89999999999998</v>
      </c>
      <c r="C55" s="4">
        <v>59.19</v>
      </c>
      <c r="D55" s="4">
        <v>39.044600000000003</v>
      </c>
      <c r="E55" s="4">
        <v>121.57</v>
      </c>
      <c r="F55" s="4">
        <v>135.36000000000001</v>
      </c>
      <c r="G55" s="4">
        <v>75.52</v>
      </c>
      <c r="H55" s="4">
        <v>37.172699999999999</v>
      </c>
    </row>
    <row r="56" spans="1:8" x14ac:dyDescent="0.2">
      <c r="A56" s="1">
        <v>44074</v>
      </c>
      <c r="B56" s="4">
        <v>326.19</v>
      </c>
      <c r="C56" s="4">
        <v>61.99</v>
      </c>
      <c r="D56" s="4">
        <v>40.1721</v>
      </c>
      <c r="E56" s="4">
        <v>120.39</v>
      </c>
      <c r="F56" s="4">
        <v>132.97</v>
      </c>
      <c r="G56" s="4">
        <v>75.849999999999994</v>
      </c>
      <c r="H56" s="4">
        <v>37.742800000000003</v>
      </c>
    </row>
    <row r="57" spans="1:8" x14ac:dyDescent="0.2">
      <c r="A57" s="1">
        <v>44104</v>
      </c>
      <c r="B57" s="4">
        <v>313.98</v>
      </c>
      <c r="C57" s="4">
        <v>60.72</v>
      </c>
      <c r="D57" s="4">
        <v>39.766300000000001</v>
      </c>
      <c r="E57" s="4">
        <v>120.7</v>
      </c>
      <c r="F57" s="4">
        <v>132.09</v>
      </c>
      <c r="G57" s="4">
        <v>73.84</v>
      </c>
      <c r="H57" s="4">
        <v>36.640099999999997</v>
      </c>
    </row>
    <row r="58" spans="1:8" x14ac:dyDescent="0.2">
      <c r="A58" s="1">
        <v>44135</v>
      </c>
      <c r="B58" s="4">
        <v>306.14999999999998</v>
      </c>
      <c r="C58" s="4">
        <v>58.57</v>
      </c>
      <c r="D58" s="4">
        <v>40.326000000000001</v>
      </c>
      <c r="E58" s="4">
        <v>119.04</v>
      </c>
      <c r="F58" s="4">
        <v>131.41</v>
      </c>
      <c r="G58" s="4">
        <v>71.62</v>
      </c>
      <c r="H58" s="4">
        <v>36.205199999999998</v>
      </c>
    </row>
    <row r="59" spans="1:8" x14ac:dyDescent="0.2">
      <c r="A59" s="1">
        <v>44165</v>
      </c>
      <c r="B59" s="4">
        <v>339.44</v>
      </c>
      <c r="C59" s="4">
        <v>66.92</v>
      </c>
      <c r="D59" s="4">
        <v>43.950699999999998</v>
      </c>
      <c r="E59" s="4">
        <v>119.37</v>
      </c>
      <c r="F59" s="4">
        <v>136.08000000000001</v>
      </c>
      <c r="G59" s="4">
        <v>78.55</v>
      </c>
      <c r="H59" s="4">
        <v>40.838799999999999</v>
      </c>
    </row>
    <row r="60" spans="1:8" x14ac:dyDescent="0.2">
      <c r="A60" s="1">
        <v>44196</v>
      </c>
      <c r="B60" s="4">
        <v>352.02</v>
      </c>
      <c r="C60" s="4">
        <v>70.28</v>
      </c>
      <c r="D60" s="4">
        <v>47.085700000000003</v>
      </c>
      <c r="E60" s="4">
        <v>119</v>
      </c>
      <c r="F60" s="4">
        <v>136.01</v>
      </c>
      <c r="G60" s="4">
        <v>80.7</v>
      </c>
      <c r="H60" s="4">
        <v>42.069699999999997</v>
      </c>
    </row>
    <row r="61" spans="1:8" x14ac:dyDescent="0.2">
      <c r="A61" s="1">
        <v>44227</v>
      </c>
      <c r="B61" s="4">
        <v>348.43</v>
      </c>
      <c r="C61" s="4">
        <v>69.73</v>
      </c>
      <c r="D61" s="4">
        <v>48.580100000000002</v>
      </c>
      <c r="E61" s="4">
        <v>117.7</v>
      </c>
      <c r="F61" s="4">
        <v>133.53</v>
      </c>
      <c r="G61" s="4">
        <v>80.73</v>
      </c>
      <c r="H61" s="4">
        <v>41.031100000000002</v>
      </c>
    </row>
    <row r="62" spans="1:8" x14ac:dyDescent="0.2">
      <c r="A62" s="1">
        <v>44255</v>
      </c>
      <c r="B62" s="4">
        <v>358.13</v>
      </c>
      <c r="C62" s="4">
        <v>71.290000000000006</v>
      </c>
      <c r="D62" s="4">
        <v>48.963000000000001</v>
      </c>
      <c r="E62" s="4">
        <v>114.83</v>
      </c>
      <c r="F62" s="4">
        <v>130.24</v>
      </c>
      <c r="G62" s="4">
        <v>83.49</v>
      </c>
      <c r="H62" s="4">
        <v>41.377299999999998</v>
      </c>
    </row>
    <row r="63" spans="1:8" x14ac:dyDescent="0.2">
      <c r="A63" s="1">
        <v>44286</v>
      </c>
      <c r="B63" s="4">
        <v>374.39</v>
      </c>
      <c r="C63" s="4">
        <v>73.08</v>
      </c>
      <c r="D63" s="4">
        <v>48.6066</v>
      </c>
      <c r="E63" s="4">
        <v>112.02</v>
      </c>
      <c r="F63" s="4">
        <v>128.06</v>
      </c>
      <c r="G63" s="4">
        <v>87.8</v>
      </c>
      <c r="H63" s="4">
        <v>43.3795</v>
      </c>
    </row>
    <row r="64" spans="1:8" x14ac:dyDescent="0.2">
      <c r="A64" s="1">
        <v>44316</v>
      </c>
      <c r="B64" s="4">
        <v>394.2</v>
      </c>
      <c r="C64" s="4">
        <v>75.239999999999995</v>
      </c>
      <c r="D64" s="4">
        <v>49.191000000000003</v>
      </c>
      <c r="E64" s="4">
        <v>113.15</v>
      </c>
      <c r="F64" s="4">
        <v>129.38999999999999</v>
      </c>
      <c r="G64" s="4">
        <v>94.7</v>
      </c>
      <c r="H64" s="4">
        <v>44.890500000000003</v>
      </c>
    </row>
    <row r="65" spans="1:8" x14ac:dyDescent="0.2">
      <c r="A65" s="1">
        <v>44347</v>
      </c>
      <c r="B65" s="4">
        <v>396.79</v>
      </c>
      <c r="C65" s="4">
        <v>77.86</v>
      </c>
      <c r="D65" s="4">
        <v>50.001399999999997</v>
      </c>
      <c r="E65" s="4">
        <v>113.55</v>
      </c>
      <c r="F65" s="4">
        <v>129.93</v>
      </c>
      <c r="G65" s="4">
        <v>95.46</v>
      </c>
      <c r="H65" s="4">
        <v>45.218000000000004</v>
      </c>
    </row>
    <row r="66" spans="1:8" x14ac:dyDescent="0.2">
      <c r="A66" s="1">
        <v>44377</v>
      </c>
      <c r="B66" s="4">
        <v>405.69</v>
      </c>
      <c r="C66" s="4">
        <v>77.010000000000005</v>
      </c>
      <c r="D66" s="4">
        <v>50.4758</v>
      </c>
      <c r="E66" s="4">
        <v>114.63</v>
      </c>
      <c r="F66" s="4">
        <v>132.56</v>
      </c>
      <c r="G66" s="4">
        <v>97.98</v>
      </c>
      <c r="H66" s="4">
        <v>44.306600000000003</v>
      </c>
    </row>
    <row r="67" spans="1:8" x14ac:dyDescent="0.2">
      <c r="A67" s="1">
        <v>44408</v>
      </c>
      <c r="B67" s="4">
        <v>415.59</v>
      </c>
      <c r="C67" s="4">
        <v>77.61</v>
      </c>
      <c r="D67" s="4">
        <v>47.226599999999998</v>
      </c>
      <c r="E67" s="4">
        <v>116.92</v>
      </c>
      <c r="F67" s="4">
        <v>134.43</v>
      </c>
      <c r="G67" s="4">
        <v>102.31</v>
      </c>
      <c r="H67" s="4">
        <v>44.794800000000002</v>
      </c>
    </row>
    <row r="68" spans="1:8" x14ac:dyDescent="0.2">
      <c r="A68" s="1">
        <v>44439</v>
      </c>
      <c r="B68" s="4">
        <v>427.97</v>
      </c>
      <c r="C68" s="4">
        <v>78.73</v>
      </c>
      <c r="D68" s="4">
        <v>47.968499999999999</v>
      </c>
      <c r="E68" s="4">
        <v>116.38</v>
      </c>
      <c r="F68" s="4">
        <v>133.74</v>
      </c>
      <c r="G68" s="4">
        <v>104.53</v>
      </c>
      <c r="H68" s="4">
        <v>45.410299999999999</v>
      </c>
    </row>
    <row r="69" spans="1:8" x14ac:dyDescent="0.2">
      <c r="A69" s="1">
        <v>44469</v>
      </c>
      <c r="B69" s="4">
        <v>408.01</v>
      </c>
      <c r="C69" s="4">
        <v>76.16</v>
      </c>
      <c r="D69" s="4">
        <v>46.110300000000002</v>
      </c>
      <c r="E69" s="4">
        <v>114.44</v>
      </c>
      <c r="F69" s="4">
        <v>131.49</v>
      </c>
      <c r="G69" s="4">
        <v>98.58</v>
      </c>
      <c r="H69" s="4">
        <v>44.814599999999999</v>
      </c>
    </row>
    <row r="70" spans="1:8" x14ac:dyDescent="0.2">
      <c r="A70" s="1">
        <v>44500</v>
      </c>
      <c r="B70" s="4">
        <v>436.65</v>
      </c>
      <c r="C70" s="4">
        <v>78.59</v>
      </c>
      <c r="D70" s="4">
        <v>46.604700000000001</v>
      </c>
      <c r="E70" s="4">
        <v>113.94</v>
      </c>
      <c r="F70" s="4">
        <v>132.19</v>
      </c>
      <c r="G70" s="4">
        <v>105.62</v>
      </c>
      <c r="H70" s="4">
        <v>46.6402</v>
      </c>
    </row>
    <row r="71" spans="1:8" x14ac:dyDescent="0.2">
      <c r="A71" s="1">
        <v>44530</v>
      </c>
      <c r="B71" s="4">
        <v>433.14</v>
      </c>
      <c r="C71" s="4">
        <v>75.02</v>
      </c>
      <c r="D71" s="4">
        <v>44.700800000000001</v>
      </c>
      <c r="E71" s="4">
        <v>115.1</v>
      </c>
      <c r="F71" s="4">
        <v>131.78</v>
      </c>
      <c r="G71" s="4">
        <v>103.38</v>
      </c>
      <c r="H71" s="4">
        <v>44.277999999999999</v>
      </c>
    </row>
    <row r="72" spans="1:8" x14ac:dyDescent="0.2">
      <c r="A72" s="1">
        <v>44561</v>
      </c>
      <c r="B72" s="4">
        <v>453.17</v>
      </c>
      <c r="C72" s="4">
        <v>76.97</v>
      </c>
      <c r="D72" s="4">
        <v>45.378100000000003</v>
      </c>
      <c r="E72" s="4">
        <v>114.41</v>
      </c>
      <c r="F72" s="4">
        <v>131.5</v>
      </c>
      <c r="G72" s="4">
        <v>113.42</v>
      </c>
      <c r="H72" s="4">
        <v>46.938099999999999</v>
      </c>
    </row>
    <row r="73" spans="1:8" x14ac:dyDescent="0.2">
      <c r="A73" s="1">
        <v>44592</v>
      </c>
      <c r="B73" s="4">
        <v>429.27</v>
      </c>
      <c r="C73" s="4">
        <v>74.180000000000007</v>
      </c>
      <c r="D73" s="4">
        <v>45.368899999999996</v>
      </c>
      <c r="E73" s="4">
        <v>112</v>
      </c>
      <c r="F73" s="4">
        <v>126.78</v>
      </c>
      <c r="G73" s="4">
        <v>103.87</v>
      </c>
      <c r="H73" s="4">
        <v>46.5929</v>
      </c>
    </row>
    <row r="74" spans="1:8" x14ac:dyDescent="0.2">
      <c r="A74" s="1">
        <v>44620</v>
      </c>
      <c r="B74" s="4">
        <v>416.6</v>
      </c>
      <c r="C74" s="4">
        <v>71.63</v>
      </c>
      <c r="D74" s="4">
        <v>43.408900000000003</v>
      </c>
      <c r="E74" s="4">
        <v>111.55</v>
      </c>
      <c r="F74" s="4">
        <v>123.84</v>
      </c>
      <c r="G74" s="4">
        <v>100.25</v>
      </c>
      <c r="H74" s="4">
        <v>47.500300000000003</v>
      </c>
    </row>
    <row r="75" spans="1:8" x14ac:dyDescent="0.2">
      <c r="A75" s="1">
        <v>44651</v>
      </c>
      <c r="B75" s="4">
        <v>432.27</v>
      </c>
      <c r="C75" s="4">
        <v>72</v>
      </c>
      <c r="D75" s="4">
        <v>41.941200000000002</v>
      </c>
      <c r="E75" s="4">
        <v>106.92</v>
      </c>
      <c r="F75" s="4">
        <v>120.01</v>
      </c>
      <c r="G75" s="4">
        <v>106.53</v>
      </c>
      <c r="H75" s="4">
        <v>50.1633</v>
      </c>
    </row>
    <row r="76" spans="1:8" x14ac:dyDescent="0.2">
      <c r="A76" s="1">
        <v>44681</v>
      </c>
      <c r="B76" s="4">
        <v>394.33</v>
      </c>
      <c r="C76" s="4">
        <v>67.150000000000006</v>
      </c>
      <c r="D76" s="4">
        <v>39.368000000000002</v>
      </c>
      <c r="E76" s="4">
        <v>102.29</v>
      </c>
      <c r="F76" s="4">
        <v>111.73</v>
      </c>
      <c r="G76" s="4">
        <v>102.18</v>
      </c>
      <c r="H76" s="4">
        <v>48.180799999999998</v>
      </c>
    </row>
    <row r="77" spans="1:8" x14ac:dyDescent="0.2">
      <c r="A77" s="1">
        <v>44712</v>
      </c>
      <c r="B77" s="4">
        <v>395.22</v>
      </c>
      <c r="C77" s="4">
        <v>68.489999999999995</v>
      </c>
      <c r="D77" s="4">
        <v>39.609699999999997</v>
      </c>
      <c r="E77" s="4">
        <v>102.92</v>
      </c>
      <c r="F77" s="4">
        <v>113.81</v>
      </c>
      <c r="G77" s="4">
        <v>97.39</v>
      </c>
      <c r="H77" s="4">
        <v>50.419699999999999</v>
      </c>
    </row>
    <row r="78" spans="1:8" x14ac:dyDescent="0.2">
      <c r="A78" s="1">
        <v>44742</v>
      </c>
      <c r="B78" s="4">
        <v>362.63</v>
      </c>
      <c r="C78" s="4">
        <v>62.49</v>
      </c>
      <c r="D78" s="4">
        <v>37.564999999999998</v>
      </c>
      <c r="E78" s="4">
        <v>101.91</v>
      </c>
      <c r="F78" s="4">
        <v>109.43</v>
      </c>
      <c r="G78" s="4">
        <v>90.13</v>
      </c>
      <c r="H78" s="4">
        <v>46.75</v>
      </c>
    </row>
    <row r="79" spans="1:8" x14ac:dyDescent="0.2">
      <c r="A79" s="1">
        <v>44773</v>
      </c>
      <c r="B79" s="4">
        <v>396.02</v>
      </c>
      <c r="C79" s="4">
        <v>65.72</v>
      </c>
      <c r="D79" s="4">
        <v>37.433799999999998</v>
      </c>
      <c r="E79" s="4">
        <v>104.77</v>
      </c>
      <c r="F79" s="4">
        <v>113.98</v>
      </c>
      <c r="G79" s="4">
        <v>97.9</v>
      </c>
      <c r="H79" s="4">
        <v>48.39</v>
      </c>
    </row>
    <row r="80" spans="1:8" x14ac:dyDescent="0.2">
      <c r="A80" s="1">
        <v>44804</v>
      </c>
      <c r="B80" s="4">
        <v>379.87</v>
      </c>
      <c r="C80" s="4">
        <v>61.7</v>
      </c>
      <c r="D80" s="4">
        <v>36.9373</v>
      </c>
      <c r="E80" s="4">
        <v>100.73</v>
      </c>
      <c r="F80" s="4">
        <v>108.94</v>
      </c>
      <c r="G80" s="4">
        <v>92.01</v>
      </c>
      <c r="H80" s="4">
        <v>47.33</v>
      </c>
    </row>
    <row r="81" spans="1:8" x14ac:dyDescent="0.2">
      <c r="A81" s="1">
        <v>44834</v>
      </c>
      <c r="B81" s="4">
        <v>344.75</v>
      </c>
      <c r="C81" s="4">
        <v>56.01</v>
      </c>
      <c r="D81" s="4">
        <v>32.674900000000001</v>
      </c>
      <c r="E81" s="4">
        <v>95.79</v>
      </c>
      <c r="F81" s="4">
        <v>102.14</v>
      </c>
      <c r="G81" s="4">
        <v>80.17</v>
      </c>
      <c r="H81" s="4">
        <v>41.83</v>
      </c>
    </row>
    <row r="82" spans="1:8" x14ac:dyDescent="0.2">
      <c r="A82" s="1">
        <v>44865</v>
      </c>
      <c r="B82" s="4">
        <v>372.77</v>
      </c>
      <c r="C82" s="4">
        <v>59.31</v>
      </c>
      <c r="D82" s="4">
        <v>32.028500000000001</v>
      </c>
      <c r="E82" s="4">
        <v>94.21</v>
      </c>
      <c r="F82" s="4">
        <v>101.04</v>
      </c>
      <c r="G82" s="4">
        <v>82.98</v>
      </c>
      <c r="H82" s="4">
        <v>44.07</v>
      </c>
    </row>
    <row r="83" spans="1:8" x14ac:dyDescent="0.2">
      <c r="A83" s="1">
        <v>44895</v>
      </c>
      <c r="B83" s="4">
        <v>393.5</v>
      </c>
      <c r="C83" s="4">
        <v>67.12</v>
      </c>
      <c r="D83" s="4">
        <v>37.021700000000003</v>
      </c>
      <c r="E83" s="4">
        <v>97.61</v>
      </c>
      <c r="F83" s="4">
        <v>107.76</v>
      </c>
      <c r="G83" s="4">
        <v>88.08</v>
      </c>
      <c r="H83" s="4">
        <v>47.91</v>
      </c>
    </row>
    <row r="84" spans="1:8" x14ac:dyDescent="0.2">
      <c r="A84" s="1">
        <v>44926</v>
      </c>
      <c r="B84" s="4">
        <v>370.82</v>
      </c>
      <c r="C84" s="4">
        <v>65.64</v>
      </c>
      <c r="D84" s="4">
        <v>36.045499999999997</v>
      </c>
      <c r="E84" s="4">
        <v>95.78</v>
      </c>
      <c r="F84" s="4">
        <v>105.43</v>
      </c>
      <c r="G84" s="4">
        <v>82.48</v>
      </c>
      <c r="H84" s="4">
        <v>45.84</v>
      </c>
    </row>
    <row r="85" spans="1:8" x14ac:dyDescent="0.2">
      <c r="A85" s="1">
        <v>44957</v>
      </c>
      <c r="B85" s="4">
        <v>394.14</v>
      </c>
      <c r="C85" s="4">
        <v>71.55</v>
      </c>
      <c r="D85" s="4">
        <v>39.336199999999998</v>
      </c>
      <c r="E85" s="4">
        <v>99.21</v>
      </c>
      <c r="F85" s="4">
        <v>110.87</v>
      </c>
      <c r="G85" s="4">
        <v>91.06</v>
      </c>
      <c r="H85" s="4">
        <v>48.26</v>
      </c>
    </row>
    <row r="86" spans="1:8" x14ac:dyDescent="0.2">
      <c r="A86" s="1">
        <v>44985</v>
      </c>
      <c r="B86" s="4">
        <v>384.23</v>
      </c>
      <c r="C86" s="4">
        <v>69.349999999999994</v>
      </c>
      <c r="D86" s="4">
        <v>36.359299999999998</v>
      </c>
      <c r="E86" s="4">
        <v>95.76</v>
      </c>
      <c r="F86" s="4">
        <v>105.92</v>
      </c>
      <c r="G86" s="4">
        <v>85.72</v>
      </c>
      <c r="H86" s="4">
        <v>46.52</v>
      </c>
    </row>
    <row r="87" spans="1:8" x14ac:dyDescent="0.2">
      <c r="A87" s="1">
        <v>45016</v>
      </c>
      <c r="B87" s="4">
        <v>398.48</v>
      </c>
      <c r="C87" s="4">
        <v>71.52</v>
      </c>
      <c r="D87" s="4">
        <v>37.529000000000003</v>
      </c>
      <c r="E87" s="4">
        <v>99.12</v>
      </c>
      <c r="F87" s="4">
        <v>109.61</v>
      </c>
      <c r="G87" s="4">
        <v>83.04</v>
      </c>
      <c r="H87" s="4">
        <v>47.7</v>
      </c>
    </row>
    <row r="88" spans="1:8" x14ac:dyDescent="0.2">
      <c r="A88" s="1">
        <v>45046</v>
      </c>
      <c r="B88" s="4">
        <v>404.84</v>
      </c>
      <c r="C88" s="4">
        <v>73.62</v>
      </c>
      <c r="D88" s="4">
        <v>37.215200000000003</v>
      </c>
      <c r="E88" s="4">
        <v>99.73</v>
      </c>
      <c r="F88" s="4">
        <v>109.93</v>
      </c>
      <c r="G88" s="4">
        <v>83.3</v>
      </c>
      <c r="H88" s="4">
        <v>48.97</v>
      </c>
    </row>
    <row r="89" spans="1:8" x14ac:dyDescent="0.2">
      <c r="A89" s="1">
        <v>45077</v>
      </c>
      <c r="B89" s="4">
        <v>406.71</v>
      </c>
      <c r="C89" s="4">
        <v>70.67</v>
      </c>
      <c r="D89" s="4">
        <v>36.321199999999997</v>
      </c>
      <c r="E89" s="4">
        <v>98.06</v>
      </c>
      <c r="F89" s="4">
        <v>107.62</v>
      </c>
      <c r="G89" s="4">
        <v>80</v>
      </c>
      <c r="H89" s="4">
        <v>46.3</v>
      </c>
    </row>
    <row r="90" spans="1:8" x14ac:dyDescent="0.2">
      <c r="A90" s="1">
        <v>45107</v>
      </c>
      <c r="B90" s="4">
        <v>433.07</v>
      </c>
      <c r="C90" s="4">
        <v>72.5</v>
      </c>
      <c r="D90" s="4">
        <v>37.9191</v>
      </c>
      <c r="E90" s="4">
        <v>96.6</v>
      </c>
      <c r="F90" s="4">
        <v>108.14</v>
      </c>
      <c r="G90" s="4">
        <v>83.56</v>
      </c>
      <c r="H90" s="4">
        <v>46.95</v>
      </c>
    </row>
    <row r="91" spans="1:8" x14ac:dyDescent="0.2">
      <c r="A91" s="1">
        <v>45138</v>
      </c>
      <c r="B91" s="4">
        <v>447.24</v>
      </c>
      <c r="C91" s="4">
        <v>74.459999999999994</v>
      </c>
      <c r="D91" s="4">
        <v>40.209899999999998</v>
      </c>
      <c r="E91" s="4">
        <v>95.74</v>
      </c>
      <c r="F91" s="4">
        <v>107.85</v>
      </c>
      <c r="G91" s="4">
        <v>85.26</v>
      </c>
      <c r="H91" s="4">
        <v>47.81</v>
      </c>
    </row>
    <row r="92" spans="1:8" x14ac:dyDescent="0.2">
      <c r="A92" s="1">
        <v>45169</v>
      </c>
      <c r="B92" s="4">
        <v>439.97</v>
      </c>
      <c r="C92" s="4">
        <v>71.53</v>
      </c>
      <c r="D92" s="4">
        <v>37.545200000000001</v>
      </c>
      <c r="E92" s="4">
        <v>94.8</v>
      </c>
      <c r="F92" s="4">
        <v>106.16</v>
      </c>
      <c r="G92" s="4">
        <v>82.38</v>
      </c>
      <c r="H92" s="4">
        <v>45.44</v>
      </c>
    </row>
    <row r="93" spans="1:8" x14ac:dyDescent="0.2">
      <c r="A93" s="1">
        <v>45199</v>
      </c>
      <c r="B93" s="4">
        <v>419.1</v>
      </c>
      <c r="C93" s="4">
        <v>68.92</v>
      </c>
      <c r="D93" s="4">
        <v>36.375900000000001</v>
      </c>
      <c r="E93" s="4">
        <v>91.59</v>
      </c>
      <c r="F93" s="4">
        <v>102.02</v>
      </c>
      <c r="G93" s="4">
        <v>75.66</v>
      </c>
      <c r="H93" s="4">
        <v>43.29</v>
      </c>
    </row>
    <row r="94" spans="1:8" x14ac:dyDescent="0.2">
      <c r="A94" s="1">
        <v>45230</v>
      </c>
      <c r="B94" s="4">
        <v>410</v>
      </c>
      <c r="C94" s="4">
        <v>66.92</v>
      </c>
      <c r="D94" s="4">
        <v>35.177700000000002</v>
      </c>
      <c r="E94" s="4">
        <v>89.59</v>
      </c>
      <c r="F94" s="4">
        <v>99.17</v>
      </c>
      <c r="G94" s="4">
        <v>72.92</v>
      </c>
      <c r="H94" s="4">
        <v>42.13</v>
      </c>
    </row>
    <row r="95" spans="1:8" x14ac:dyDescent="0.2">
      <c r="A95" s="1">
        <v>45260</v>
      </c>
      <c r="B95" s="4">
        <v>447.46</v>
      </c>
      <c r="C95" s="4">
        <v>72.42</v>
      </c>
      <c r="D95" s="4">
        <v>37.9191</v>
      </c>
      <c r="E95" s="4">
        <v>93.41</v>
      </c>
      <c r="F95" s="4">
        <v>106.29</v>
      </c>
      <c r="G95" s="4">
        <v>81.73</v>
      </c>
      <c r="H95" s="4">
        <v>46.06</v>
      </c>
    </row>
    <row r="96" spans="1:8" x14ac:dyDescent="0.2">
      <c r="A96" s="1">
        <v>45291</v>
      </c>
      <c r="B96" s="4">
        <v>467.88</v>
      </c>
      <c r="C96" s="4">
        <v>75.349999999999994</v>
      </c>
      <c r="D96" s="4">
        <v>39.271099999999997</v>
      </c>
      <c r="E96" s="4">
        <v>96.39</v>
      </c>
      <c r="F96" s="4">
        <v>110.66</v>
      </c>
      <c r="G96" s="4">
        <v>88.36</v>
      </c>
      <c r="H96" s="4">
        <v>47.05</v>
      </c>
    </row>
    <row r="97" spans="1:8" x14ac:dyDescent="0.2">
      <c r="A97" s="1">
        <v>45322</v>
      </c>
      <c r="B97" s="4">
        <v>475.34</v>
      </c>
      <c r="C97" s="4">
        <v>75.010000000000005</v>
      </c>
      <c r="D97" s="4">
        <v>37.493600000000001</v>
      </c>
      <c r="E97" s="4">
        <v>96.46</v>
      </c>
      <c r="F97" s="4">
        <v>110.17</v>
      </c>
      <c r="G97" s="4">
        <v>83.89</v>
      </c>
      <c r="H97" s="4">
        <v>45.37</v>
      </c>
    </row>
    <row r="98" spans="1:8" x14ac:dyDescent="0.2">
      <c r="A98" s="1">
        <v>45351</v>
      </c>
      <c r="B98" s="4">
        <v>500.14</v>
      </c>
      <c r="C98" s="4">
        <v>77.25</v>
      </c>
      <c r="D98" s="4">
        <v>39.056199999999997</v>
      </c>
      <c r="E98" s="4">
        <v>94.22</v>
      </c>
      <c r="F98" s="4">
        <v>107.66</v>
      </c>
      <c r="G98" s="4">
        <v>85.55</v>
      </c>
      <c r="H98" s="4">
        <v>45.64</v>
      </c>
    </row>
    <row r="99" spans="1:8" x14ac:dyDescent="0.2">
      <c r="A99" s="1">
        <v>45382</v>
      </c>
      <c r="B99" s="4">
        <v>516.5</v>
      </c>
      <c r="C99" s="4">
        <v>79.86</v>
      </c>
      <c r="D99" s="4">
        <v>40.120699999999999</v>
      </c>
      <c r="E99" s="4">
        <v>94.66</v>
      </c>
      <c r="F99" s="4">
        <v>108.92</v>
      </c>
      <c r="G99" s="4">
        <v>86.48</v>
      </c>
      <c r="H99" s="4">
        <v>47.62</v>
      </c>
    </row>
    <row r="100" spans="1:8" x14ac:dyDescent="0.2">
      <c r="A100" s="1">
        <v>45412</v>
      </c>
      <c r="B100" s="4">
        <v>495.67</v>
      </c>
      <c r="C100" s="4">
        <v>77.27</v>
      </c>
      <c r="D100" s="4">
        <v>40.032899999999998</v>
      </c>
      <c r="E100" s="4">
        <v>91.43</v>
      </c>
      <c r="F100" s="4">
        <v>104.99</v>
      </c>
      <c r="G100" s="4">
        <v>79.61</v>
      </c>
      <c r="H100" s="4">
        <v>47.31</v>
      </c>
    </row>
    <row r="101" spans="1:8" x14ac:dyDescent="0.2">
      <c r="A101" s="1">
        <v>45443</v>
      </c>
      <c r="B101" s="4">
        <v>520.74</v>
      </c>
      <c r="C101" s="4">
        <v>78.92</v>
      </c>
      <c r="D101" s="4">
        <v>40.8142</v>
      </c>
      <c r="E101" s="4">
        <v>92.8</v>
      </c>
      <c r="F101" s="4">
        <v>106.7</v>
      </c>
      <c r="G101" s="4">
        <v>81.37</v>
      </c>
      <c r="H101" s="4">
        <v>50.42</v>
      </c>
    </row>
    <row r="102" spans="1:8" x14ac:dyDescent="0.2">
      <c r="A102" s="1">
        <v>45473</v>
      </c>
      <c r="B102" s="4">
        <v>539.12</v>
      </c>
      <c r="C102" s="4">
        <v>78.33</v>
      </c>
      <c r="D102" s="4">
        <v>41.882599999999996</v>
      </c>
      <c r="E102" s="4">
        <v>93.65</v>
      </c>
      <c r="F102" s="4">
        <v>107.12</v>
      </c>
      <c r="G102" s="4">
        <v>83.76</v>
      </c>
      <c r="H102" s="4">
        <v>47.92</v>
      </c>
    </row>
    <row r="103" spans="1:8" x14ac:dyDescent="0.2">
      <c r="A103" s="1">
        <v>45504</v>
      </c>
      <c r="B103" s="4">
        <v>545.64</v>
      </c>
      <c r="C103" s="4">
        <v>80.36</v>
      </c>
      <c r="D103" s="4">
        <v>42.236600000000003</v>
      </c>
      <c r="E103" s="4">
        <v>96.07</v>
      </c>
      <c r="F103" s="4">
        <v>109.56</v>
      </c>
      <c r="G103" s="4">
        <v>90.41</v>
      </c>
      <c r="H103" s="4">
        <v>50.07</v>
      </c>
    </row>
    <row r="104" spans="1:8" x14ac:dyDescent="0.2">
      <c r="A104" s="1">
        <v>45535</v>
      </c>
      <c r="B104" s="4">
        <v>558.39</v>
      </c>
      <c r="C104" s="4">
        <v>82.98</v>
      </c>
      <c r="D104" s="4">
        <v>42.6496</v>
      </c>
      <c r="E104" s="4">
        <v>97.07</v>
      </c>
      <c r="F104" s="4">
        <v>111.21</v>
      </c>
      <c r="G104" s="4">
        <v>95.13</v>
      </c>
      <c r="H104" s="4">
        <v>52.33</v>
      </c>
    </row>
    <row r="105" spans="1:8" x14ac:dyDescent="0.2">
      <c r="A105" s="1">
        <v>45565</v>
      </c>
      <c r="B105" s="4">
        <v>570.12</v>
      </c>
      <c r="C105" s="4">
        <v>83.63</v>
      </c>
      <c r="D105" s="4">
        <v>45.098199999999999</v>
      </c>
      <c r="E105" s="4">
        <v>98.12</v>
      </c>
      <c r="F105" s="4">
        <v>112.98</v>
      </c>
      <c r="G105" s="4">
        <v>97.42</v>
      </c>
      <c r="H105" s="4">
        <v>54.43</v>
      </c>
    </row>
    <row r="106" spans="1:8" x14ac:dyDescent="0.2">
      <c r="A106" s="1">
        <v>45596</v>
      </c>
      <c r="B106" s="4">
        <v>565.03</v>
      </c>
      <c r="C106" s="4">
        <v>79.22</v>
      </c>
      <c r="D106" s="4">
        <v>43.7117</v>
      </c>
      <c r="E106" s="4">
        <v>94.52</v>
      </c>
      <c r="F106" s="4">
        <v>108.99</v>
      </c>
      <c r="G106" s="4">
        <v>94.15</v>
      </c>
      <c r="H106" s="4">
        <v>53.73</v>
      </c>
    </row>
    <row r="107" spans="1:8" x14ac:dyDescent="0.2">
      <c r="A107" s="1">
        <v>45626</v>
      </c>
      <c r="B107" s="4">
        <v>598.73</v>
      </c>
      <c r="C107" s="4">
        <v>78.97</v>
      </c>
      <c r="D107" s="4">
        <v>42.541400000000003</v>
      </c>
      <c r="E107" s="4">
        <v>95.19</v>
      </c>
      <c r="F107" s="4">
        <v>110.55</v>
      </c>
      <c r="G107" s="4">
        <v>98.16</v>
      </c>
      <c r="H107" s="4">
        <v>55.7</v>
      </c>
    </row>
    <row r="108" spans="1:8" x14ac:dyDescent="0.2">
      <c r="A108" s="1">
        <v>45657</v>
      </c>
      <c r="B108" s="4">
        <v>584.32000000000005</v>
      </c>
      <c r="C108" s="4">
        <v>75.61</v>
      </c>
      <c r="D108" s="4">
        <v>41.82</v>
      </c>
      <c r="E108" s="4">
        <v>92.45</v>
      </c>
      <c r="F108" s="4">
        <v>106.84</v>
      </c>
      <c r="G108" s="4">
        <v>89.08</v>
      </c>
      <c r="H108" s="4">
        <v>52.27</v>
      </c>
    </row>
    <row r="109" spans="1:8" x14ac:dyDescent="0.2">
      <c r="A109" s="1">
        <v>45688</v>
      </c>
      <c r="B109" s="4">
        <v>600.02</v>
      </c>
      <c r="C109" s="4">
        <v>79.239999999999995</v>
      </c>
      <c r="D109" s="4">
        <v>42.72</v>
      </c>
      <c r="E109" s="4">
        <v>93.02</v>
      </c>
      <c r="F109" s="4">
        <v>107.46</v>
      </c>
      <c r="G109" s="4">
        <v>90.55</v>
      </c>
      <c r="H109" s="4">
        <v>53.19</v>
      </c>
    </row>
    <row r="110" spans="1:8" x14ac:dyDescent="0.2">
      <c r="A110" s="1">
        <v>45716</v>
      </c>
      <c r="B110" s="4">
        <v>592.4</v>
      </c>
      <c r="C110" s="4">
        <v>81.58</v>
      </c>
      <c r="D110" s="4">
        <v>43.21</v>
      </c>
      <c r="E110" s="4">
        <v>95.32</v>
      </c>
      <c r="F110" s="4">
        <v>109.61</v>
      </c>
      <c r="G110" s="4">
        <v>93.9</v>
      </c>
      <c r="H110" s="4">
        <v>53.47</v>
      </c>
    </row>
    <row r="111" spans="1:8" x14ac:dyDescent="0.2">
      <c r="A111" s="1">
        <v>45747</v>
      </c>
      <c r="B111" s="4">
        <v>559.39</v>
      </c>
      <c r="C111" s="4">
        <v>81.73</v>
      </c>
      <c r="D111" s="4">
        <v>43.7</v>
      </c>
      <c r="E111" s="4">
        <v>95.37</v>
      </c>
      <c r="F111" s="4">
        <v>108.69</v>
      </c>
      <c r="G111" s="4">
        <v>90.54</v>
      </c>
      <c r="H111" s="4">
        <v>54.67</v>
      </c>
    </row>
    <row r="112" spans="1:8" x14ac:dyDescent="0.2">
      <c r="A112" s="1">
        <v>45777</v>
      </c>
      <c r="B112" s="4">
        <v>554.54</v>
      </c>
      <c r="C112" s="4">
        <v>84.75</v>
      </c>
      <c r="D112" s="4">
        <v>43.76</v>
      </c>
      <c r="E112" s="4">
        <v>96.07</v>
      </c>
      <c r="F112" s="4">
        <v>107.98</v>
      </c>
      <c r="G112" s="4">
        <v>88.33</v>
      </c>
      <c r="H112" s="4">
        <v>56.39</v>
      </c>
    </row>
    <row r="113" spans="1:8" x14ac:dyDescent="0.2">
      <c r="A113" s="1">
        <v>45808</v>
      </c>
      <c r="B113" s="4">
        <v>589.39</v>
      </c>
      <c r="C113" s="4">
        <v>88.81</v>
      </c>
      <c r="D113" s="4">
        <v>45.52</v>
      </c>
      <c r="E113" s="4">
        <v>94.57</v>
      </c>
      <c r="F113" s="4">
        <v>107.77</v>
      </c>
      <c r="G113" s="4">
        <v>89.32</v>
      </c>
      <c r="H113" s="4">
        <v>59</v>
      </c>
    </row>
    <row r="114" spans="1:8" x14ac:dyDescent="0.2">
      <c r="A114" s="1">
        <v>45838</v>
      </c>
      <c r="B114" s="4">
        <v>617.85</v>
      </c>
      <c r="C114" s="4">
        <v>89.39</v>
      </c>
      <c r="D114" s="4">
        <v>48.24</v>
      </c>
      <c r="E114" s="4">
        <v>95.77</v>
      </c>
      <c r="F114" s="4">
        <v>109.61</v>
      </c>
      <c r="G114" s="4">
        <v>89.06</v>
      </c>
      <c r="H114" s="4">
        <v>59.2</v>
      </c>
    </row>
    <row r="115" spans="1:8" x14ac:dyDescent="0.2">
      <c r="A115" s="1">
        <v>45869</v>
      </c>
      <c r="B115" s="4">
        <v>632.08000000000004</v>
      </c>
      <c r="C115" s="4">
        <v>87.52</v>
      </c>
      <c r="D115" s="4">
        <v>48.56</v>
      </c>
      <c r="E115" s="4">
        <v>94.9</v>
      </c>
      <c r="F115" s="4">
        <v>109.11</v>
      </c>
      <c r="G115" s="4">
        <v>89.14</v>
      </c>
      <c r="H115" s="4">
        <v>59.08</v>
      </c>
    </row>
    <row r="116" spans="1:8" x14ac:dyDescent="0.2">
      <c r="A116" s="1">
        <v>45900</v>
      </c>
      <c r="B116" s="4">
        <v>645.04999999999995</v>
      </c>
      <c r="C116" s="4">
        <v>91.48</v>
      </c>
      <c r="D116" s="4">
        <v>49.86</v>
      </c>
      <c r="E116" s="4">
        <v>96.15</v>
      </c>
      <c r="F116" s="4">
        <v>109.8</v>
      </c>
      <c r="G116" s="4">
        <v>92.24</v>
      </c>
      <c r="H116" s="4">
        <v>60.35</v>
      </c>
    </row>
    <row r="117" spans="1:8" x14ac:dyDescent="0.2">
      <c r="A117" s="1">
        <v>45930</v>
      </c>
      <c r="B117" s="4">
        <v>666.18</v>
      </c>
      <c r="C117" s="4">
        <v>93.37</v>
      </c>
      <c r="D117" s="4">
        <v>53.4</v>
      </c>
      <c r="E117" s="4">
        <v>96.46</v>
      </c>
      <c r="F117" s="4">
        <v>111.47</v>
      </c>
      <c r="G117" s="4">
        <v>91.42</v>
      </c>
      <c r="H117" s="4">
        <v>61.12</v>
      </c>
    </row>
    <row r="118" spans="1:8" x14ac:dyDescent="0.2">
      <c r="A118" s="1">
        <v>45961</v>
      </c>
      <c r="B118" s="4">
        <v>682.06</v>
      </c>
      <c r="C118" s="4">
        <v>94.49</v>
      </c>
      <c r="D118" s="4">
        <v>55.3</v>
      </c>
      <c r="E118" s="4">
        <v>96.85</v>
      </c>
      <c r="F118" s="4">
        <v>111.23</v>
      </c>
      <c r="G118" s="4">
        <v>89.18</v>
      </c>
      <c r="H118" s="4">
        <v>61</v>
      </c>
    </row>
    <row r="119" spans="1:8" x14ac:dyDescent="0.2">
      <c r="A119" s="1">
        <v>45991</v>
      </c>
      <c r="B119" s="4">
        <v>683.39</v>
      </c>
      <c r="C119" s="4">
        <v>95.19</v>
      </c>
      <c r="D119" s="4">
        <v>54.32</v>
      </c>
      <c r="E119" s="4">
        <v>97.5</v>
      </c>
      <c r="F119" s="4">
        <v>111.86</v>
      </c>
      <c r="G119" s="4">
        <v>91.34</v>
      </c>
      <c r="H119" s="4">
        <v>63.06</v>
      </c>
    </row>
    <row r="120" spans="1:8" x14ac:dyDescent="0.2">
      <c r="A120" s="1">
        <v>46022</v>
      </c>
      <c r="B120" s="4">
        <v>681.92</v>
      </c>
      <c r="C120" s="4">
        <v>96.03</v>
      </c>
      <c r="D120" s="4">
        <v>54.71</v>
      </c>
      <c r="E120" s="4">
        <v>96.16</v>
      </c>
      <c r="F120" s="4">
        <v>110.19</v>
      </c>
      <c r="G120" s="4">
        <v>88.49</v>
      </c>
      <c r="H120" s="4">
        <v>61.36</v>
      </c>
    </row>
    <row r="121" spans="1:8" x14ac:dyDescent="0.2">
      <c r="A121" s="1">
        <v>46053</v>
      </c>
      <c r="B121" s="4">
        <v>691.97</v>
      </c>
      <c r="C121" s="4">
        <v>100.74</v>
      </c>
      <c r="D121" s="4">
        <v>59.1</v>
      </c>
      <c r="E121" s="4">
        <v>95.94</v>
      </c>
      <c r="F121" s="4">
        <v>110.57</v>
      </c>
      <c r="G121" s="4">
        <v>90.8</v>
      </c>
      <c r="H121" s="4">
        <v>64.41</v>
      </c>
    </row>
    <row r="122" spans="1:8" x14ac:dyDescent="0.2">
      <c r="A122" s="1">
        <v>46081</v>
      </c>
      <c r="B122" s="4">
        <v>681.74</v>
      </c>
      <c r="C122" s="4">
        <v>104.24</v>
      </c>
      <c r="D122" s="4">
        <v>61.12</v>
      </c>
      <c r="E122" s="4">
        <v>97.23</v>
      </c>
      <c r="F122" s="4">
        <v>111.58</v>
      </c>
      <c r="G122" s="4">
        <v>94.59</v>
      </c>
      <c r="H122" s="4">
        <v>68.36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Strategic Asset Allocation</vt:lpstr>
      <vt:lpstr>Implementation Breakdown</vt:lpstr>
      <vt:lpstr>Capital Market Assumptions (Exp</vt:lpstr>
      <vt:lpstr>Portfolio Analytics</vt:lpstr>
      <vt:lpstr>Rebalancing Simulation</vt:lpstr>
      <vt:lpstr>Sheet2</vt:lpstr>
      <vt:lpstr>Deviation</vt:lpstr>
      <vt:lpstr>Returns</vt:lpstr>
      <vt:lpstr>Portfolio</vt:lpstr>
      <vt:lpstr>Raw Data_Prices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Essa Kazmi</dc:creator>
  <cp:lastModifiedBy>Syed Essa Kazmi</cp:lastModifiedBy>
  <dcterms:created xsi:type="dcterms:W3CDTF">2026-02-13T22:11:22Z</dcterms:created>
  <dcterms:modified xsi:type="dcterms:W3CDTF">2026-02-22T05:33:37Z</dcterms:modified>
</cp:coreProperties>
</file>